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\Downloads\"/>
    </mc:Choice>
  </mc:AlternateContent>
  <xr:revisionPtr revIDLastSave="0" documentId="13_ncr:1_{A0764C2C-BCFC-4907-BD19-3286EB4E084D}" xr6:coauthVersionLast="40" xr6:coauthVersionMax="40" xr10:uidLastSave="{00000000-0000-0000-0000-000000000000}"/>
  <bookViews>
    <workbookView xWindow="0" yWindow="0" windowWidth="20490" windowHeight="6945" firstSheet="4" activeTab="10" xr2:uid="{00000000-000D-0000-FFFF-FFFF00000000}"/>
  </bookViews>
  <sheets>
    <sheet name="Naive" sheetId="1" r:id="rId1"/>
    <sheet name="Moving Average" sheetId="2" r:id="rId2"/>
    <sheet name="Exponential smoothing " sheetId="3" r:id="rId3"/>
    <sheet name="Linear Forecast" sheetId="4" r:id="rId4"/>
    <sheet name="SLR" sheetId="5" r:id="rId5"/>
    <sheet name="Agg Naive" sheetId="6" r:id="rId6"/>
    <sheet name="Agg MA" sheetId="8" r:id="rId7"/>
    <sheet name="Agg Exponential S" sheetId="9" r:id="rId8"/>
    <sheet name="Agg Linear" sheetId="10" r:id="rId9"/>
    <sheet name="Agg SLR" sheetId="11" r:id="rId10"/>
    <sheet name="Accuracy Charts" sheetId="12" r:id="rId11"/>
  </sheets>
  <definedNames>
    <definedName name="solver_opt" localSheetId="3">'Linear Forecast'!$D$2</definedName>
  </definedNames>
  <calcPr calcId="191029"/>
  <fileRecoveryPr repairLoad="1"/>
</workbook>
</file>

<file path=xl/calcChain.xml><?xml version="1.0" encoding="utf-8"?>
<calcChain xmlns="http://schemas.openxmlformats.org/spreadsheetml/2006/main">
  <c r="N3" i="11" l="1"/>
  <c r="N2" i="11"/>
  <c r="D5" i="11" s="1"/>
  <c r="O2" i="5"/>
  <c r="E2" i="5" s="1"/>
  <c r="S5" i="11"/>
  <c r="S6" i="11"/>
  <c r="S7" i="11"/>
  <c r="S8" i="11"/>
  <c r="S9" i="11"/>
  <c r="S10" i="11"/>
  <c r="S11" i="11"/>
  <c r="S12" i="11"/>
  <c r="S13" i="11"/>
  <c r="S14" i="11"/>
  <c r="S15" i="11"/>
  <c r="S4" i="11"/>
  <c r="R5" i="11"/>
  <c r="R6" i="11"/>
  <c r="R7" i="11"/>
  <c r="T7" i="11" s="1"/>
  <c r="J5" i="11" s="1"/>
  <c r="R8" i="11"/>
  <c r="R9" i="11"/>
  <c r="R10" i="11"/>
  <c r="R11" i="11"/>
  <c r="T11" i="11" s="1"/>
  <c r="J9" i="11" s="1"/>
  <c r="R12" i="11"/>
  <c r="R13" i="11"/>
  <c r="T13" i="11" s="1"/>
  <c r="J11" i="11" s="1"/>
  <c r="R14" i="11"/>
  <c r="R15" i="11"/>
  <c r="T15" i="11" s="1"/>
  <c r="J13" i="11" s="1"/>
  <c r="R4" i="11"/>
  <c r="T4" i="11" s="1"/>
  <c r="J2" i="11" s="1"/>
  <c r="T14" i="11"/>
  <c r="J12" i="11" s="1"/>
  <c r="T10" i="11"/>
  <c r="J8" i="11" s="1"/>
  <c r="T9" i="11"/>
  <c r="J7" i="11" s="1"/>
  <c r="T6" i="11"/>
  <c r="J4" i="11" s="1"/>
  <c r="T5" i="11"/>
  <c r="J3" i="11" s="1"/>
  <c r="D3" i="10"/>
  <c r="E3" i="10" s="1"/>
  <c r="F3" i="10" s="1"/>
  <c r="D4" i="10"/>
  <c r="E4" i="10" s="1"/>
  <c r="F4" i="10" s="1"/>
  <c r="D5" i="10"/>
  <c r="E5" i="10" s="1"/>
  <c r="F5" i="10" s="1"/>
  <c r="D6" i="10"/>
  <c r="E6" i="10" s="1"/>
  <c r="F6" i="10" s="1"/>
  <c r="D7" i="10"/>
  <c r="E7" i="10" s="1"/>
  <c r="F7" i="10" s="1"/>
  <c r="D8" i="10"/>
  <c r="E8" i="10" s="1"/>
  <c r="F8" i="10" s="1"/>
  <c r="D9" i="10"/>
  <c r="E9" i="10" s="1"/>
  <c r="F9" i="10" s="1"/>
  <c r="D10" i="10"/>
  <c r="E10" i="10" s="1"/>
  <c r="F10" i="10" s="1"/>
  <c r="D11" i="10"/>
  <c r="E11" i="10" s="1"/>
  <c r="F11" i="10" s="1"/>
  <c r="D12" i="10"/>
  <c r="E12" i="10" s="1"/>
  <c r="F12" i="10" s="1"/>
  <c r="D13" i="10"/>
  <c r="E13" i="10" s="1"/>
  <c r="F13" i="10" s="1"/>
  <c r="D2" i="10"/>
  <c r="E2" i="10" s="1"/>
  <c r="F2" i="10" s="1"/>
  <c r="C3" i="9"/>
  <c r="D3" i="9" s="1"/>
  <c r="E3" i="9" s="1"/>
  <c r="C5" i="8"/>
  <c r="D5" i="8" s="1"/>
  <c r="E5" i="8" s="1"/>
  <c r="C6" i="8"/>
  <c r="D6" i="8" s="1"/>
  <c r="E6" i="8" s="1"/>
  <c r="C7" i="8"/>
  <c r="D7" i="8" s="1"/>
  <c r="E7" i="8" s="1"/>
  <c r="C8" i="8"/>
  <c r="D8" i="8" s="1"/>
  <c r="E8" i="8" s="1"/>
  <c r="C9" i="8"/>
  <c r="D9" i="8" s="1"/>
  <c r="E9" i="8" s="1"/>
  <c r="C10" i="8"/>
  <c r="D10" i="8" s="1"/>
  <c r="E10" i="8" s="1"/>
  <c r="C11" i="8"/>
  <c r="D11" i="8" s="1"/>
  <c r="E11" i="8" s="1"/>
  <c r="C12" i="8"/>
  <c r="D12" i="8" s="1"/>
  <c r="E12" i="8" s="1"/>
  <c r="C13" i="8"/>
  <c r="D13" i="8" s="1"/>
  <c r="E13" i="8" s="1"/>
  <c r="C4" i="8"/>
  <c r="D4" i="8" s="1"/>
  <c r="E4" i="8" s="1"/>
  <c r="C4" i="6"/>
  <c r="D4" i="6" s="1"/>
  <c r="E4" i="6" s="1"/>
  <c r="C5" i="6"/>
  <c r="D5" i="6" s="1"/>
  <c r="E5" i="6" s="1"/>
  <c r="C6" i="6"/>
  <c r="D6" i="6" s="1"/>
  <c r="E6" i="6" s="1"/>
  <c r="C7" i="6"/>
  <c r="D7" i="6" s="1"/>
  <c r="E7" i="6" s="1"/>
  <c r="C8" i="6"/>
  <c r="D8" i="6" s="1"/>
  <c r="E8" i="6" s="1"/>
  <c r="C9" i="6"/>
  <c r="D9" i="6" s="1"/>
  <c r="E9" i="6" s="1"/>
  <c r="C10" i="6"/>
  <c r="D10" i="6" s="1"/>
  <c r="E10" i="6" s="1"/>
  <c r="C11" i="6"/>
  <c r="D11" i="6" s="1"/>
  <c r="E11" i="6" s="1"/>
  <c r="C12" i="6"/>
  <c r="D12" i="6" s="1"/>
  <c r="E12" i="6" s="1"/>
  <c r="C13" i="6"/>
  <c r="D13" i="6" s="1"/>
  <c r="E13" i="6" s="1"/>
  <c r="C3" i="6"/>
  <c r="D3" i="6" s="1"/>
  <c r="E3" i="6" s="1"/>
  <c r="E354" i="5"/>
  <c r="O3" i="5"/>
  <c r="D5" i="4"/>
  <c r="D3" i="4"/>
  <c r="D2" i="4"/>
  <c r="E6" i="4" s="1"/>
  <c r="F6" i="4" s="1"/>
  <c r="E34" i="4"/>
  <c r="F34" i="4" s="1"/>
  <c r="E66" i="4"/>
  <c r="F66" i="4" s="1"/>
  <c r="E98" i="4"/>
  <c r="F98" i="4" s="1"/>
  <c r="E130" i="4"/>
  <c r="F130" i="4" s="1"/>
  <c r="E162" i="4"/>
  <c r="F162" i="4" s="1"/>
  <c r="E194" i="4"/>
  <c r="F194" i="4" s="1"/>
  <c r="E226" i="4"/>
  <c r="F226" i="4" s="1"/>
  <c r="E258" i="4"/>
  <c r="F258" i="4" s="1"/>
  <c r="E274" i="4"/>
  <c r="F274" i="4" s="1"/>
  <c r="E290" i="4"/>
  <c r="F290" i="4" s="1"/>
  <c r="E306" i="4"/>
  <c r="F306" i="4" s="1"/>
  <c r="E322" i="4"/>
  <c r="F322" i="4" s="1"/>
  <c r="E338" i="4"/>
  <c r="F338" i="4" s="1"/>
  <c r="E348" i="4"/>
  <c r="F348" i="4" s="1"/>
  <c r="E356" i="4"/>
  <c r="F356" i="4" s="1"/>
  <c r="E364" i="4"/>
  <c r="F364" i="4" s="1"/>
  <c r="D4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" i="3"/>
  <c r="E3" i="3" s="1"/>
  <c r="C4" i="3"/>
  <c r="C5" i="3" s="1"/>
  <c r="C3" i="3"/>
  <c r="C6" i="3" l="1"/>
  <c r="D5" i="3"/>
  <c r="E5" i="3" s="1"/>
  <c r="G3" i="3"/>
  <c r="F3" i="3"/>
  <c r="H338" i="4"/>
  <c r="G338" i="4"/>
  <c r="H274" i="4"/>
  <c r="G274" i="4"/>
  <c r="H162" i="4"/>
  <c r="G162" i="4"/>
  <c r="H34" i="4"/>
  <c r="G34" i="4"/>
  <c r="D4" i="3"/>
  <c r="E4" i="3" s="1"/>
  <c r="H364" i="4"/>
  <c r="G364" i="4"/>
  <c r="H322" i="4"/>
  <c r="G322" i="4"/>
  <c r="H258" i="4"/>
  <c r="G258" i="4"/>
  <c r="H130" i="4"/>
  <c r="G130" i="4"/>
  <c r="H6" i="4"/>
  <c r="G6" i="4"/>
  <c r="H356" i="4"/>
  <c r="G356" i="4"/>
  <c r="H306" i="4"/>
  <c r="G306" i="4"/>
  <c r="H226" i="4"/>
  <c r="G226" i="4"/>
  <c r="H98" i="4"/>
  <c r="G98" i="4"/>
  <c r="H348" i="4"/>
  <c r="G348" i="4"/>
  <c r="H290" i="4"/>
  <c r="G290" i="4"/>
  <c r="H194" i="4"/>
  <c r="G194" i="4"/>
  <c r="H66" i="4"/>
  <c r="G66" i="4"/>
  <c r="E363" i="4"/>
  <c r="F363" i="4" s="1"/>
  <c r="E355" i="4"/>
  <c r="F355" i="4" s="1"/>
  <c r="E347" i="4"/>
  <c r="F347" i="4" s="1"/>
  <c r="E337" i="4"/>
  <c r="F337" i="4" s="1"/>
  <c r="E321" i="4"/>
  <c r="F321" i="4" s="1"/>
  <c r="E305" i="4"/>
  <c r="F305" i="4" s="1"/>
  <c r="E289" i="4"/>
  <c r="F289" i="4" s="1"/>
  <c r="E273" i="4"/>
  <c r="F273" i="4" s="1"/>
  <c r="E254" i="4"/>
  <c r="F254" i="4" s="1"/>
  <c r="E222" i="4"/>
  <c r="F222" i="4" s="1"/>
  <c r="E190" i="4"/>
  <c r="F190" i="4" s="1"/>
  <c r="E158" i="4"/>
  <c r="F158" i="4" s="1"/>
  <c r="E126" i="4"/>
  <c r="F126" i="4" s="1"/>
  <c r="E94" i="4"/>
  <c r="F94" i="4" s="1"/>
  <c r="E62" i="4"/>
  <c r="F62" i="4" s="1"/>
  <c r="E30" i="4"/>
  <c r="F30" i="4" s="1"/>
  <c r="E360" i="4"/>
  <c r="F360" i="4" s="1"/>
  <c r="E352" i="4"/>
  <c r="F352" i="4" s="1"/>
  <c r="E344" i="4"/>
  <c r="F344" i="4" s="1"/>
  <c r="E330" i="4"/>
  <c r="F330" i="4" s="1"/>
  <c r="E314" i="4"/>
  <c r="F314" i="4" s="1"/>
  <c r="E298" i="4"/>
  <c r="F298" i="4" s="1"/>
  <c r="E282" i="4"/>
  <c r="F282" i="4" s="1"/>
  <c r="E266" i="4"/>
  <c r="F266" i="4" s="1"/>
  <c r="E242" i="4"/>
  <c r="F242" i="4" s="1"/>
  <c r="E210" i="4"/>
  <c r="F210" i="4" s="1"/>
  <c r="E178" i="4"/>
  <c r="F178" i="4" s="1"/>
  <c r="E146" i="4"/>
  <c r="F146" i="4" s="1"/>
  <c r="E114" i="4"/>
  <c r="F114" i="4" s="1"/>
  <c r="E82" i="4"/>
  <c r="F82" i="4" s="1"/>
  <c r="E50" i="4"/>
  <c r="F50" i="4" s="1"/>
  <c r="E18" i="4"/>
  <c r="F18" i="4" s="1"/>
  <c r="E2" i="4"/>
  <c r="F2" i="4" s="1"/>
  <c r="E359" i="4"/>
  <c r="F359" i="4" s="1"/>
  <c r="E351" i="4"/>
  <c r="F351" i="4" s="1"/>
  <c r="E343" i="4"/>
  <c r="F343" i="4" s="1"/>
  <c r="E329" i="4"/>
  <c r="F329" i="4" s="1"/>
  <c r="E313" i="4"/>
  <c r="F313" i="4" s="1"/>
  <c r="E297" i="4"/>
  <c r="F297" i="4" s="1"/>
  <c r="E281" i="4"/>
  <c r="F281" i="4" s="1"/>
  <c r="E265" i="4"/>
  <c r="F265" i="4" s="1"/>
  <c r="E238" i="4"/>
  <c r="F238" i="4" s="1"/>
  <c r="E206" i="4"/>
  <c r="F206" i="4" s="1"/>
  <c r="E174" i="4"/>
  <c r="F174" i="4" s="1"/>
  <c r="E142" i="4"/>
  <c r="F142" i="4" s="1"/>
  <c r="E110" i="4"/>
  <c r="F110" i="4" s="1"/>
  <c r="E78" i="4"/>
  <c r="F78" i="4" s="1"/>
  <c r="E46" i="4"/>
  <c r="F46" i="4" s="1"/>
  <c r="E14" i="4"/>
  <c r="F14" i="4" s="1"/>
  <c r="F12" i="6"/>
  <c r="G12" i="6"/>
  <c r="F8" i="6"/>
  <c r="G8" i="6"/>
  <c r="F4" i="6"/>
  <c r="G4" i="6"/>
  <c r="F11" i="8"/>
  <c r="G11" i="8"/>
  <c r="F7" i="8"/>
  <c r="G7" i="8"/>
  <c r="L5" i="10"/>
  <c r="H2" i="10"/>
  <c r="G2" i="10"/>
  <c r="H10" i="10"/>
  <c r="G10" i="10"/>
  <c r="H6" i="10"/>
  <c r="G6" i="10"/>
  <c r="F11" i="6"/>
  <c r="G11" i="6"/>
  <c r="F7" i="6"/>
  <c r="G7" i="6"/>
  <c r="K6" i="8"/>
  <c r="G4" i="8"/>
  <c r="K8" i="8" s="1"/>
  <c r="K9" i="8" s="1"/>
  <c r="F4" i="8"/>
  <c r="G10" i="8"/>
  <c r="F10" i="8"/>
  <c r="G6" i="8"/>
  <c r="F6" i="8"/>
  <c r="H13" i="10"/>
  <c r="G13" i="10"/>
  <c r="H9" i="10"/>
  <c r="G9" i="10"/>
  <c r="H5" i="10"/>
  <c r="G5" i="10"/>
  <c r="K4" i="6"/>
  <c r="G3" i="6"/>
  <c r="F3" i="6"/>
  <c r="F10" i="6"/>
  <c r="G10" i="6"/>
  <c r="F6" i="6"/>
  <c r="G6" i="6"/>
  <c r="G13" i="8"/>
  <c r="F13" i="8"/>
  <c r="G9" i="8"/>
  <c r="F9" i="8"/>
  <c r="G5" i="8"/>
  <c r="F5" i="8"/>
  <c r="H12" i="10"/>
  <c r="G12" i="10"/>
  <c r="H8" i="10"/>
  <c r="G8" i="10"/>
  <c r="H4" i="10"/>
  <c r="G4" i="10"/>
  <c r="E5" i="11"/>
  <c r="F5" i="11" s="1"/>
  <c r="G5" i="11" s="1"/>
  <c r="G13" i="6"/>
  <c r="F13" i="6"/>
  <c r="G9" i="6"/>
  <c r="F9" i="6"/>
  <c r="G5" i="6"/>
  <c r="F5" i="6"/>
  <c r="F12" i="8"/>
  <c r="G12" i="8"/>
  <c r="F8" i="8"/>
  <c r="G8" i="8"/>
  <c r="F3" i="9"/>
  <c r="G3" i="9"/>
  <c r="H11" i="10"/>
  <c r="G11" i="10"/>
  <c r="H7" i="10"/>
  <c r="G7" i="10"/>
  <c r="H3" i="10"/>
  <c r="G3" i="10"/>
  <c r="C4" i="9"/>
  <c r="D12" i="11"/>
  <c r="E12" i="11" s="1"/>
  <c r="F12" i="11" s="1"/>
  <c r="G12" i="11" s="1"/>
  <c r="D8" i="11"/>
  <c r="E8" i="11" s="1"/>
  <c r="F8" i="11" s="1"/>
  <c r="G8" i="11" s="1"/>
  <c r="D4" i="11"/>
  <c r="E4" i="11" s="1"/>
  <c r="F4" i="11" s="1"/>
  <c r="G4" i="11" s="1"/>
  <c r="D11" i="11"/>
  <c r="E11" i="11" s="1"/>
  <c r="F11" i="11" s="1"/>
  <c r="G11" i="11" s="1"/>
  <c r="D7" i="11"/>
  <c r="E7" i="11" s="1"/>
  <c r="F7" i="11" s="1"/>
  <c r="G7" i="11" s="1"/>
  <c r="D3" i="11"/>
  <c r="E3" i="11" s="1"/>
  <c r="F3" i="11" s="1"/>
  <c r="G3" i="11" s="1"/>
  <c r="E358" i="5"/>
  <c r="D2" i="11"/>
  <c r="E2" i="11" s="1"/>
  <c r="F2" i="11" s="1"/>
  <c r="G2" i="11" s="1"/>
  <c r="D10" i="11"/>
  <c r="E10" i="11" s="1"/>
  <c r="F10" i="11" s="1"/>
  <c r="G10" i="11" s="1"/>
  <c r="D6" i="11"/>
  <c r="D13" i="11"/>
  <c r="E13" i="11" s="1"/>
  <c r="F13" i="11" s="1"/>
  <c r="G13" i="11" s="1"/>
  <c r="D9" i="11"/>
  <c r="E9" i="11" s="1"/>
  <c r="F9" i="11" s="1"/>
  <c r="G9" i="11" s="1"/>
  <c r="E350" i="5"/>
  <c r="E362" i="5"/>
  <c r="E346" i="5"/>
  <c r="E366" i="5"/>
  <c r="E11" i="5"/>
  <c r="T12" i="11"/>
  <c r="J10" i="11" s="1"/>
  <c r="T8" i="11"/>
  <c r="J6" i="11" s="1"/>
  <c r="E342" i="5"/>
  <c r="E338" i="5"/>
  <c r="E334" i="5"/>
  <c r="E330" i="5"/>
  <c r="E326" i="5"/>
  <c r="E322" i="5"/>
  <c r="E318" i="5"/>
  <c r="E314" i="5"/>
  <c r="E310" i="5"/>
  <c r="E306" i="5"/>
  <c r="E302" i="5"/>
  <c r="E298" i="5"/>
  <c r="E294" i="5"/>
  <c r="E290" i="5"/>
  <c r="E286" i="5"/>
  <c r="E282" i="5"/>
  <c r="E278" i="5"/>
  <c r="E274" i="5"/>
  <c r="E270" i="5"/>
  <c r="E266" i="5"/>
  <c r="E262" i="5"/>
  <c r="E258" i="5"/>
  <c r="E254" i="5"/>
  <c r="E250" i="5"/>
  <c r="E246" i="5"/>
  <c r="E242" i="5"/>
  <c r="E238" i="5"/>
  <c r="E234" i="5"/>
  <c r="E230" i="5"/>
  <c r="E226" i="5"/>
  <c r="E222" i="5"/>
  <c r="E218" i="5"/>
  <c r="E214" i="5"/>
  <c r="E210" i="5"/>
  <c r="E206" i="5"/>
  <c r="E202" i="5"/>
  <c r="E198" i="5"/>
  <c r="E194" i="5"/>
  <c r="E190" i="5"/>
  <c r="E186" i="5"/>
  <c r="E182" i="5"/>
  <c r="E175" i="5"/>
  <c r="E167" i="5"/>
  <c r="E155" i="5"/>
  <c r="E139" i="5"/>
  <c r="E123" i="5"/>
  <c r="E107" i="5"/>
  <c r="E91" i="5"/>
  <c r="E75" i="5"/>
  <c r="E59" i="5"/>
  <c r="E43" i="5"/>
  <c r="E27" i="5"/>
  <c r="E4" i="5"/>
  <c r="E8" i="5"/>
  <c r="E12" i="5"/>
  <c r="E16" i="5"/>
  <c r="E20" i="5"/>
  <c r="E24" i="5"/>
  <c r="E28" i="5"/>
  <c r="E32" i="5"/>
  <c r="E36" i="5"/>
  <c r="E40" i="5"/>
  <c r="E44" i="5"/>
  <c r="E48" i="5"/>
  <c r="E52" i="5"/>
  <c r="E56" i="5"/>
  <c r="E60" i="5"/>
  <c r="E64" i="5"/>
  <c r="E68" i="5"/>
  <c r="E72" i="5"/>
  <c r="E76" i="5"/>
  <c r="E80" i="5"/>
  <c r="E84" i="5"/>
  <c r="E88" i="5"/>
  <c r="E92" i="5"/>
  <c r="E96" i="5"/>
  <c r="E100" i="5"/>
  <c r="E104" i="5"/>
  <c r="E108" i="5"/>
  <c r="E112" i="5"/>
  <c r="E116" i="5"/>
  <c r="E120" i="5"/>
  <c r="E124" i="5"/>
  <c r="E128" i="5"/>
  <c r="E132" i="5"/>
  <c r="E136" i="5"/>
  <c r="E140" i="5"/>
  <c r="E144" i="5"/>
  <c r="E148" i="5"/>
  <c r="E152" i="5"/>
  <c r="E156" i="5"/>
  <c r="E160" i="5"/>
  <c r="E164" i="5"/>
  <c r="E168" i="5"/>
  <c r="E172" i="5"/>
  <c r="E176" i="5"/>
  <c r="E180" i="5"/>
  <c r="E5" i="5"/>
  <c r="E9" i="5"/>
  <c r="E13" i="5"/>
  <c r="E17" i="5"/>
  <c r="E21" i="5"/>
  <c r="E25" i="5"/>
  <c r="E29" i="5"/>
  <c r="E33" i="5"/>
  <c r="E37" i="5"/>
  <c r="E41" i="5"/>
  <c r="E45" i="5"/>
  <c r="E49" i="5"/>
  <c r="E53" i="5"/>
  <c r="E57" i="5"/>
  <c r="E61" i="5"/>
  <c r="E65" i="5"/>
  <c r="E69" i="5"/>
  <c r="E73" i="5"/>
  <c r="E77" i="5"/>
  <c r="E81" i="5"/>
  <c r="E85" i="5"/>
  <c r="E89" i="5"/>
  <c r="E93" i="5"/>
  <c r="E97" i="5"/>
  <c r="E101" i="5"/>
  <c r="E105" i="5"/>
  <c r="E109" i="5"/>
  <c r="E113" i="5"/>
  <c r="E117" i="5"/>
  <c r="E121" i="5"/>
  <c r="E125" i="5"/>
  <c r="E129" i="5"/>
  <c r="E133" i="5"/>
  <c r="E137" i="5"/>
  <c r="E141" i="5"/>
  <c r="E145" i="5"/>
  <c r="E149" i="5"/>
  <c r="E153" i="5"/>
  <c r="E157" i="5"/>
  <c r="E161" i="5"/>
  <c r="E6" i="5"/>
  <c r="E10" i="5"/>
  <c r="E14" i="5"/>
  <c r="E18" i="5"/>
  <c r="E22" i="5"/>
  <c r="E26" i="5"/>
  <c r="E30" i="5"/>
  <c r="E34" i="5"/>
  <c r="E38" i="5"/>
  <c r="E42" i="5"/>
  <c r="E46" i="5"/>
  <c r="E50" i="5"/>
  <c r="E54" i="5"/>
  <c r="E58" i="5"/>
  <c r="E62" i="5"/>
  <c r="E66" i="5"/>
  <c r="E70" i="5"/>
  <c r="E74" i="5"/>
  <c r="E78" i="5"/>
  <c r="E82" i="5"/>
  <c r="E86" i="5"/>
  <c r="E90" i="5"/>
  <c r="E94" i="5"/>
  <c r="E98" i="5"/>
  <c r="E102" i="5"/>
  <c r="E106" i="5"/>
  <c r="E110" i="5"/>
  <c r="E114" i="5"/>
  <c r="E118" i="5"/>
  <c r="E122" i="5"/>
  <c r="E126" i="5"/>
  <c r="E130" i="5"/>
  <c r="E134" i="5"/>
  <c r="E138" i="5"/>
  <c r="E142" i="5"/>
  <c r="E146" i="5"/>
  <c r="E150" i="5"/>
  <c r="E154" i="5"/>
  <c r="E158" i="5"/>
  <c r="E162" i="5"/>
  <c r="E166" i="5"/>
  <c r="E170" i="5"/>
  <c r="E174" i="5"/>
  <c r="E178" i="5"/>
  <c r="E365" i="5"/>
  <c r="E361" i="5"/>
  <c r="E357" i="5"/>
  <c r="E353" i="5"/>
  <c r="E349" i="5"/>
  <c r="E345" i="5"/>
  <c r="E341" i="5"/>
  <c r="E337" i="5"/>
  <c r="E333" i="5"/>
  <c r="E329" i="5"/>
  <c r="E325" i="5"/>
  <c r="E321" i="5"/>
  <c r="E317" i="5"/>
  <c r="E313" i="5"/>
  <c r="E309" i="5"/>
  <c r="E305" i="5"/>
  <c r="E301" i="5"/>
  <c r="E297" i="5"/>
  <c r="E293" i="5"/>
  <c r="E289" i="5"/>
  <c r="E285" i="5"/>
  <c r="E281" i="5"/>
  <c r="E277" i="5"/>
  <c r="E273" i="5"/>
  <c r="E269" i="5"/>
  <c r="E265" i="5"/>
  <c r="E261" i="5"/>
  <c r="E257" i="5"/>
  <c r="E253" i="5"/>
  <c r="E249" i="5"/>
  <c r="E245" i="5"/>
  <c r="E241" i="5"/>
  <c r="E237" i="5"/>
  <c r="E233" i="5"/>
  <c r="E229" i="5"/>
  <c r="E225" i="5"/>
  <c r="E221" i="5"/>
  <c r="E217" i="5"/>
  <c r="E213" i="5"/>
  <c r="E209" i="5"/>
  <c r="E205" i="5"/>
  <c r="E201" i="5"/>
  <c r="E197" i="5"/>
  <c r="E193" i="5"/>
  <c r="E189" i="5"/>
  <c r="E185" i="5"/>
  <c r="E181" i="5"/>
  <c r="E173" i="5"/>
  <c r="E165" i="5"/>
  <c r="E151" i="5"/>
  <c r="E135" i="5"/>
  <c r="E119" i="5"/>
  <c r="E103" i="5"/>
  <c r="E87" i="5"/>
  <c r="E71" i="5"/>
  <c r="E55" i="5"/>
  <c r="E39" i="5"/>
  <c r="E23" i="5"/>
  <c r="E7" i="5"/>
  <c r="E364" i="5"/>
  <c r="E360" i="5"/>
  <c r="E356" i="5"/>
  <c r="E352" i="5"/>
  <c r="E348" i="5"/>
  <c r="E344" i="5"/>
  <c r="E340" i="5"/>
  <c r="E336" i="5"/>
  <c r="E332" i="5"/>
  <c r="E328" i="5"/>
  <c r="E324" i="5"/>
  <c r="E320" i="5"/>
  <c r="E316" i="5"/>
  <c r="E312" i="5"/>
  <c r="E308" i="5"/>
  <c r="E304" i="5"/>
  <c r="E300" i="5"/>
  <c r="E296" i="5"/>
  <c r="E292" i="5"/>
  <c r="E288" i="5"/>
  <c r="E284" i="5"/>
  <c r="E280" i="5"/>
  <c r="E276" i="5"/>
  <c r="E272" i="5"/>
  <c r="E268" i="5"/>
  <c r="E264" i="5"/>
  <c r="E260" i="5"/>
  <c r="E256" i="5"/>
  <c r="E252" i="5"/>
  <c r="E248" i="5"/>
  <c r="E244" i="5"/>
  <c r="E240" i="5"/>
  <c r="E236" i="5"/>
  <c r="E232" i="5"/>
  <c r="E228" i="5"/>
  <c r="E224" i="5"/>
  <c r="E220" i="5"/>
  <c r="E216" i="5"/>
  <c r="E212" i="5"/>
  <c r="E208" i="5"/>
  <c r="E204" i="5"/>
  <c r="E200" i="5"/>
  <c r="E196" i="5"/>
  <c r="E192" i="5"/>
  <c r="E188" i="5"/>
  <c r="E184" i="5"/>
  <c r="E179" i="5"/>
  <c r="E171" i="5"/>
  <c r="E163" i="5"/>
  <c r="E147" i="5"/>
  <c r="E131" i="5"/>
  <c r="E115" i="5"/>
  <c r="E99" i="5"/>
  <c r="E83" i="5"/>
  <c r="E67" i="5"/>
  <c r="E51" i="5"/>
  <c r="E35" i="5"/>
  <c r="E19" i="5"/>
  <c r="E3" i="5"/>
  <c r="E363" i="5"/>
  <c r="E359" i="5"/>
  <c r="E355" i="5"/>
  <c r="E351" i="5"/>
  <c r="E347" i="5"/>
  <c r="E343" i="5"/>
  <c r="E339" i="5"/>
  <c r="E335" i="5"/>
  <c r="E331" i="5"/>
  <c r="E327" i="5"/>
  <c r="E323" i="5"/>
  <c r="E319" i="5"/>
  <c r="E315" i="5"/>
  <c r="E311" i="5"/>
  <c r="E307" i="5"/>
  <c r="E303" i="5"/>
  <c r="E299" i="5"/>
  <c r="E295" i="5"/>
  <c r="E291" i="5"/>
  <c r="E287" i="5"/>
  <c r="E283" i="5"/>
  <c r="E279" i="5"/>
  <c r="E275" i="5"/>
  <c r="E271" i="5"/>
  <c r="E267" i="5"/>
  <c r="E263" i="5"/>
  <c r="E259" i="5"/>
  <c r="E255" i="5"/>
  <c r="E251" i="5"/>
  <c r="E247" i="5"/>
  <c r="E243" i="5"/>
  <c r="E239" i="5"/>
  <c r="E235" i="5"/>
  <c r="E231" i="5"/>
  <c r="E227" i="5"/>
  <c r="E223" i="5"/>
  <c r="E219" i="5"/>
  <c r="E215" i="5"/>
  <c r="E211" i="5"/>
  <c r="E207" i="5"/>
  <c r="E203" i="5"/>
  <c r="E199" i="5"/>
  <c r="E195" i="5"/>
  <c r="E191" i="5"/>
  <c r="E187" i="5"/>
  <c r="E183" i="5"/>
  <c r="E177" i="5"/>
  <c r="E169" i="5"/>
  <c r="E159" i="5"/>
  <c r="E143" i="5"/>
  <c r="E127" i="5"/>
  <c r="E111" i="5"/>
  <c r="E95" i="5"/>
  <c r="E79" i="5"/>
  <c r="E63" i="5"/>
  <c r="E47" i="5"/>
  <c r="E31" i="5"/>
  <c r="E15" i="5"/>
  <c r="E366" i="4"/>
  <c r="F366" i="4" s="1"/>
  <c r="E362" i="4"/>
  <c r="F362" i="4" s="1"/>
  <c r="E358" i="4"/>
  <c r="F358" i="4" s="1"/>
  <c r="E354" i="4"/>
  <c r="F354" i="4" s="1"/>
  <c r="E350" i="4"/>
  <c r="F350" i="4" s="1"/>
  <c r="E346" i="4"/>
  <c r="F346" i="4" s="1"/>
  <c r="E342" i="4"/>
  <c r="F342" i="4" s="1"/>
  <c r="E334" i="4"/>
  <c r="F334" i="4" s="1"/>
  <c r="E326" i="4"/>
  <c r="F326" i="4" s="1"/>
  <c r="E318" i="4"/>
  <c r="F318" i="4" s="1"/>
  <c r="E310" i="4"/>
  <c r="F310" i="4" s="1"/>
  <c r="E302" i="4"/>
  <c r="F302" i="4" s="1"/>
  <c r="E294" i="4"/>
  <c r="F294" i="4" s="1"/>
  <c r="E286" i="4"/>
  <c r="F286" i="4" s="1"/>
  <c r="E278" i="4"/>
  <c r="F278" i="4" s="1"/>
  <c r="E270" i="4"/>
  <c r="F270" i="4" s="1"/>
  <c r="E262" i="4"/>
  <c r="F262" i="4" s="1"/>
  <c r="E250" i="4"/>
  <c r="F250" i="4" s="1"/>
  <c r="E234" i="4"/>
  <c r="F234" i="4" s="1"/>
  <c r="E218" i="4"/>
  <c r="F218" i="4" s="1"/>
  <c r="E202" i="4"/>
  <c r="F202" i="4" s="1"/>
  <c r="E186" i="4"/>
  <c r="F186" i="4" s="1"/>
  <c r="E170" i="4"/>
  <c r="F170" i="4" s="1"/>
  <c r="E154" i="4"/>
  <c r="F154" i="4" s="1"/>
  <c r="E138" i="4"/>
  <c r="F138" i="4" s="1"/>
  <c r="E122" i="4"/>
  <c r="F122" i="4" s="1"/>
  <c r="E106" i="4"/>
  <c r="F106" i="4" s="1"/>
  <c r="E90" i="4"/>
  <c r="F90" i="4" s="1"/>
  <c r="E74" i="4"/>
  <c r="F74" i="4" s="1"/>
  <c r="E58" i="4"/>
  <c r="F58" i="4" s="1"/>
  <c r="E42" i="4"/>
  <c r="F42" i="4" s="1"/>
  <c r="E26" i="4"/>
  <c r="F26" i="4" s="1"/>
  <c r="E10" i="4"/>
  <c r="F10" i="4" s="1"/>
  <c r="E365" i="4"/>
  <c r="F365" i="4" s="1"/>
  <c r="E361" i="4"/>
  <c r="F361" i="4" s="1"/>
  <c r="E357" i="4"/>
  <c r="F357" i="4" s="1"/>
  <c r="E353" i="4"/>
  <c r="F353" i="4" s="1"/>
  <c r="E349" i="4"/>
  <c r="F349" i="4" s="1"/>
  <c r="E345" i="4"/>
  <c r="F345" i="4" s="1"/>
  <c r="E341" i="4"/>
  <c r="F341" i="4" s="1"/>
  <c r="E333" i="4"/>
  <c r="F333" i="4" s="1"/>
  <c r="E325" i="4"/>
  <c r="F325" i="4" s="1"/>
  <c r="E317" i="4"/>
  <c r="F317" i="4" s="1"/>
  <c r="E309" i="4"/>
  <c r="F309" i="4" s="1"/>
  <c r="E301" i="4"/>
  <c r="F301" i="4" s="1"/>
  <c r="E293" i="4"/>
  <c r="F293" i="4" s="1"/>
  <c r="E285" i="4"/>
  <c r="F285" i="4" s="1"/>
  <c r="E277" i="4"/>
  <c r="F277" i="4" s="1"/>
  <c r="E269" i="4"/>
  <c r="F269" i="4" s="1"/>
  <c r="E261" i="4"/>
  <c r="F261" i="4" s="1"/>
  <c r="E246" i="4"/>
  <c r="F246" i="4" s="1"/>
  <c r="E230" i="4"/>
  <c r="F230" i="4" s="1"/>
  <c r="E214" i="4"/>
  <c r="F214" i="4" s="1"/>
  <c r="E198" i="4"/>
  <c r="F198" i="4" s="1"/>
  <c r="E182" i="4"/>
  <c r="F182" i="4" s="1"/>
  <c r="E166" i="4"/>
  <c r="F166" i="4" s="1"/>
  <c r="E150" i="4"/>
  <c r="F150" i="4" s="1"/>
  <c r="E134" i="4"/>
  <c r="F134" i="4" s="1"/>
  <c r="E118" i="4"/>
  <c r="F118" i="4" s="1"/>
  <c r="E102" i="4"/>
  <c r="F102" i="4" s="1"/>
  <c r="E86" i="4"/>
  <c r="F86" i="4" s="1"/>
  <c r="E70" i="4"/>
  <c r="F70" i="4" s="1"/>
  <c r="E54" i="4"/>
  <c r="F54" i="4" s="1"/>
  <c r="E38" i="4"/>
  <c r="F38" i="4" s="1"/>
  <c r="E22" i="4"/>
  <c r="F22" i="4" s="1"/>
  <c r="E3" i="4"/>
  <c r="F3" i="4" s="1"/>
  <c r="E7" i="4"/>
  <c r="F7" i="4" s="1"/>
  <c r="E11" i="4"/>
  <c r="F11" i="4" s="1"/>
  <c r="E15" i="4"/>
  <c r="F15" i="4" s="1"/>
  <c r="E19" i="4"/>
  <c r="F19" i="4" s="1"/>
  <c r="E23" i="4"/>
  <c r="F23" i="4" s="1"/>
  <c r="E27" i="4"/>
  <c r="F27" i="4" s="1"/>
  <c r="E31" i="4"/>
  <c r="F31" i="4" s="1"/>
  <c r="E35" i="4"/>
  <c r="F35" i="4" s="1"/>
  <c r="E39" i="4"/>
  <c r="F39" i="4" s="1"/>
  <c r="E43" i="4"/>
  <c r="F43" i="4" s="1"/>
  <c r="E47" i="4"/>
  <c r="F47" i="4" s="1"/>
  <c r="E51" i="4"/>
  <c r="F51" i="4" s="1"/>
  <c r="E55" i="4"/>
  <c r="F55" i="4" s="1"/>
  <c r="E59" i="4"/>
  <c r="F59" i="4" s="1"/>
  <c r="E63" i="4"/>
  <c r="F63" i="4" s="1"/>
  <c r="E67" i="4"/>
  <c r="F67" i="4" s="1"/>
  <c r="E71" i="4"/>
  <c r="F71" i="4" s="1"/>
  <c r="E75" i="4"/>
  <c r="F75" i="4" s="1"/>
  <c r="E79" i="4"/>
  <c r="F79" i="4" s="1"/>
  <c r="E83" i="4"/>
  <c r="F83" i="4" s="1"/>
  <c r="E87" i="4"/>
  <c r="F87" i="4" s="1"/>
  <c r="E91" i="4"/>
  <c r="F91" i="4" s="1"/>
  <c r="E95" i="4"/>
  <c r="F95" i="4" s="1"/>
  <c r="E99" i="4"/>
  <c r="F99" i="4" s="1"/>
  <c r="E103" i="4"/>
  <c r="F103" i="4" s="1"/>
  <c r="E107" i="4"/>
  <c r="F107" i="4" s="1"/>
  <c r="E111" i="4"/>
  <c r="F111" i="4" s="1"/>
  <c r="E115" i="4"/>
  <c r="F115" i="4" s="1"/>
  <c r="E119" i="4"/>
  <c r="F119" i="4" s="1"/>
  <c r="E123" i="4"/>
  <c r="F123" i="4" s="1"/>
  <c r="E127" i="4"/>
  <c r="F127" i="4" s="1"/>
  <c r="E131" i="4"/>
  <c r="F131" i="4" s="1"/>
  <c r="E135" i="4"/>
  <c r="F135" i="4" s="1"/>
  <c r="E139" i="4"/>
  <c r="F139" i="4" s="1"/>
  <c r="E143" i="4"/>
  <c r="F143" i="4" s="1"/>
  <c r="E147" i="4"/>
  <c r="F147" i="4" s="1"/>
  <c r="E151" i="4"/>
  <c r="F151" i="4" s="1"/>
  <c r="E155" i="4"/>
  <c r="F155" i="4" s="1"/>
  <c r="E159" i="4"/>
  <c r="F159" i="4" s="1"/>
  <c r="E163" i="4"/>
  <c r="F163" i="4" s="1"/>
  <c r="E167" i="4"/>
  <c r="F167" i="4" s="1"/>
  <c r="E171" i="4"/>
  <c r="F171" i="4" s="1"/>
  <c r="E175" i="4"/>
  <c r="F175" i="4" s="1"/>
  <c r="E179" i="4"/>
  <c r="F179" i="4" s="1"/>
  <c r="E183" i="4"/>
  <c r="F183" i="4" s="1"/>
  <c r="E187" i="4"/>
  <c r="F187" i="4" s="1"/>
  <c r="E191" i="4"/>
  <c r="F191" i="4" s="1"/>
  <c r="E195" i="4"/>
  <c r="F195" i="4" s="1"/>
  <c r="E199" i="4"/>
  <c r="F199" i="4" s="1"/>
  <c r="E203" i="4"/>
  <c r="F203" i="4" s="1"/>
  <c r="E207" i="4"/>
  <c r="F207" i="4" s="1"/>
  <c r="E211" i="4"/>
  <c r="F211" i="4" s="1"/>
  <c r="E215" i="4"/>
  <c r="F215" i="4" s="1"/>
  <c r="E219" i="4"/>
  <c r="F219" i="4" s="1"/>
  <c r="E223" i="4"/>
  <c r="F223" i="4" s="1"/>
  <c r="E227" i="4"/>
  <c r="F227" i="4" s="1"/>
  <c r="E231" i="4"/>
  <c r="F231" i="4" s="1"/>
  <c r="E235" i="4"/>
  <c r="F235" i="4" s="1"/>
  <c r="E239" i="4"/>
  <c r="F239" i="4" s="1"/>
  <c r="E243" i="4"/>
  <c r="F243" i="4" s="1"/>
  <c r="E247" i="4"/>
  <c r="F247" i="4" s="1"/>
  <c r="E251" i="4"/>
  <c r="F251" i="4" s="1"/>
  <c r="E255" i="4"/>
  <c r="F255" i="4" s="1"/>
  <c r="E259" i="4"/>
  <c r="F259" i="4" s="1"/>
  <c r="E263" i="4"/>
  <c r="F263" i="4" s="1"/>
  <c r="E267" i="4"/>
  <c r="F267" i="4" s="1"/>
  <c r="E271" i="4"/>
  <c r="F271" i="4" s="1"/>
  <c r="E275" i="4"/>
  <c r="F275" i="4" s="1"/>
  <c r="E279" i="4"/>
  <c r="F279" i="4" s="1"/>
  <c r="E283" i="4"/>
  <c r="F283" i="4" s="1"/>
  <c r="E287" i="4"/>
  <c r="F287" i="4" s="1"/>
  <c r="E291" i="4"/>
  <c r="F291" i="4" s="1"/>
  <c r="E295" i="4"/>
  <c r="F295" i="4" s="1"/>
  <c r="E299" i="4"/>
  <c r="F299" i="4" s="1"/>
  <c r="E303" i="4"/>
  <c r="F303" i="4" s="1"/>
  <c r="E307" i="4"/>
  <c r="F307" i="4" s="1"/>
  <c r="E311" i="4"/>
  <c r="F311" i="4" s="1"/>
  <c r="E315" i="4"/>
  <c r="F315" i="4" s="1"/>
  <c r="E319" i="4"/>
  <c r="F319" i="4" s="1"/>
  <c r="E323" i="4"/>
  <c r="F323" i="4" s="1"/>
  <c r="E327" i="4"/>
  <c r="F327" i="4" s="1"/>
  <c r="E331" i="4"/>
  <c r="F331" i="4" s="1"/>
  <c r="E335" i="4"/>
  <c r="F335" i="4" s="1"/>
  <c r="E339" i="4"/>
  <c r="F339" i="4" s="1"/>
  <c r="E4" i="4"/>
  <c r="F4" i="4" s="1"/>
  <c r="E8" i="4"/>
  <c r="F8" i="4" s="1"/>
  <c r="E12" i="4"/>
  <c r="F12" i="4" s="1"/>
  <c r="E16" i="4"/>
  <c r="F16" i="4" s="1"/>
  <c r="E20" i="4"/>
  <c r="F20" i="4" s="1"/>
  <c r="E24" i="4"/>
  <c r="F24" i="4" s="1"/>
  <c r="E28" i="4"/>
  <c r="F28" i="4" s="1"/>
  <c r="E32" i="4"/>
  <c r="F32" i="4" s="1"/>
  <c r="E36" i="4"/>
  <c r="F36" i="4" s="1"/>
  <c r="E40" i="4"/>
  <c r="F40" i="4" s="1"/>
  <c r="E44" i="4"/>
  <c r="F44" i="4" s="1"/>
  <c r="E48" i="4"/>
  <c r="F48" i="4" s="1"/>
  <c r="E52" i="4"/>
  <c r="F52" i="4" s="1"/>
  <c r="E56" i="4"/>
  <c r="F56" i="4" s="1"/>
  <c r="E60" i="4"/>
  <c r="F60" i="4" s="1"/>
  <c r="E64" i="4"/>
  <c r="F64" i="4" s="1"/>
  <c r="E68" i="4"/>
  <c r="F68" i="4" s="1"/>
  <c r="E72" i="4"/>
  <c r="F72" i="4" s="1"/>
  <c r="E76" i="4"/>
  <c r="F76" i="4" s="1"/>
  <c r="E80" i="4"/>
  <c r="F80" i="4" s="1"/>
  <c r="E84" i="4"/>
  <c r="F84" i="4" s="1"/>
  <c r="E88" i="4"/>
  <c r="F88" i="4" s="1"/>
  <c r="E92" i="4"/>
  <c r="F92" i="4" s="1"/>
  <c r="E96" i="4"/>
  <c r="F96" i="4" s="1"/>
  <c r="E100" i="4"/>
  <c r="F100" i="4" s="1"/>
  <c r="E104" i="4"/>
  <c r="F104" i="4" s="1"/>
  <c r="E108" i="4"/>
  <c r="F108" i="4" s="1"/>
  <c r="E112" i="4"/>
  <c r="F112" i="4" s="1"/>
  <c r="E116" i="4"/>
  <c r="F116" i="4" s="1"/>
  <c r="E120" i="4"/>
  <c r="F120" i="4" s="1"/>
  <c r="E124" i="4"/>
  <c r="F124" i="4" s="1"/>
  <c r="E128" i="4"/>
  <c r="F128" i="4" s="1"/>
  <c r="E132" i="4"/>
  <c r="F132" i="4" s="1"/>
  <c r="E136" i="4"/>
  <c r="F136" i="4" s="1"/>
  <c r="E140" i="4"/>
  <c r="F140" i="4" s="1"/>
  <c r="E144" i="4"/>
  <c r="F144" i="4" s="1"/>
  <c r="E148" i="4"/>
  <c r="F148" i="4" s="1"/>
  <c r="E152" i="4"/>
  <c r="F152" i="4" s="1"/>
  <c r="E156" i="4"/>
  <c r="F156" i="4" s="1"/>
  <c r="E160" i="4"/>
  <c r="F160" i="4" s="1"/>
  <c r="E164" i="4"/>
  <c r="F164" i="4" s="1"/>
  <c r="E168" i="4"/>
  <c r="F168" i="4" s="1"/>
  <c r="E172" i="4"/>
  <c r="F172" i="4" s="1"/>
  <c r="E176" i="4"/>
  <c r="F176" i="4" s="1"/>
  <c r="E180" i="4"/>
  <c r="F180" i="4" s="1"/>
  <c r="E184" i="4"/>
  <c r="F184" i="4" s="1"/>
  <c r="E188" i="4"/>
  <c r="F188" i="4" s="1"/>
  <c r="E192" i="4"/>
  <c r="F192" i="4" s="1"/>
  <c r="E196" i="4"/>
  <c r="F196" i="4" s="1"/>
  <c r="E200" i="4"/>
  <c r="F200" i="4" s="1"/>
  <c r="E204" i="4"/>
  <c r="F204" i="4" s="1"/>
  <c r="E208" i="4"/>
  <c r="F208" i="4" s="1"/>
  <c r="E212" i="4"/>
  <c r="F212" i="4" s="1"/>
  <c r="E216" i="4"/>
  <c r="F216" i="4" s="1"/>
  <c r="E220" i="4"/>
  <c r="F220" i="4" s="1"/>
  <c r="E224" i="4"/>
  <c r="F224" i="4" s="1"/>
  <c r="E228" i="4"/>
  <c r="F228" i="4" s="1"/>
  <c r="E232" i="4"/>
  <c r="F232" i="4" s="1"/>
  <c r="E236" i="4"/>
  <c r="F236" i="4" s="1"/>
  <c r="E240" i="4"/>
  <c r="F240" i="4" s="1"/>
  <c r="E244" i="4"/>
  <c r="F244" i="4" s="1"/>
  <c r="E248" i="4"/>
  <c r="F248" i="4" s="1"/>
  <c r="E252" i="4"/>
  <c r="F252" i="4" s="1"/>
  <c r="E256" i="4"/>
  <c r="F256" i="4" s="1"/>
  <c r="E260" i="4"/>
  <c r="F260" i="4" s="1"/>
  <c r="E264" i="4"/>
  <c r="F264" i="4" s="1"/>
  <c r="E268" i="4"/>
  <c r="F268" i="4" s="1"/>
  <c r="E272" i="4"/>
  <c r="F272" i="4" s="1"/>
  <c r="E276" i="4"/>
  <c r="F276" i="4" s="1"/>
  <c r="E280" i="4"/>
  <c r="F280" i="4" s="1"/>
  <c r="E284" i="4"/>
  <c r="F284" i="4" s="1"/>
  <c r="E288" i="4"/>
  <c r="F288" i="4" s="1"/>
  <c r="E292" i="4"/>
  <c r="F292" i="4" s="1"/>
  <c r="E296" i="4"/>
  <c r="F296" i="4" s="1"/>
  <c r="E300" i="4"/>
  <c r="F300" i="4" s="1"/>
  <c r="E304" i="4"/>
  <c r="F304" i="4" s="1"/>
  <c r="E308" i="4"/>
  <c r="F308" i="4" s="1"/>
  <c r="E312" i="4"/>
  <c r="F312" i="4" s="1"/>
  <c r="E316" i="4"/>
  <c r="F316" i="4" s="1"/>
  <c r="E320" i="4"/>
  <c r="F320" i="4" s="1"/>
  <c r="E324" i="4"/>
  <c r="F324" i="4" s="1"/>
  <c r="E328" i="4"/>
  <c r="F328" i="4" s="1"/>
  <c r="E332" i="4"/>
  <c r="F332" i="4" s="1"/>
  <c r="E336" i="4"/>
  <c r="F336" i="4" s="1"/>
  <c r="E340" i="4"/>
  <c r="F340" i="4" s="1"/>
  <c r="E5" i="4"/>
  <c r="F5" i="4" s="1"/>
  <c r="E9" i="4"/>
  <c r="F9" i="4" s="1"/>
  <c r="E13" i="4"/>
  <c r="F13" i="4" s="1"/>
  <c r="E17" i="4"/>
  <c r="F17" i="4" s="1"/>
  <c r="E21" i="4"/>
  <c r="F21" i="4" s="1"/>
  <c r="E25" i="4"/>
  <c r="F25" i="4" s="1"/>
  <c r="E29" i="4"/>
  <c r="F29" i="4" s="1"/>
  <c r="E33" i="4"/>
  <c r="F33" i="4" s="1"/>
  <c r="E37" i="4"/>
  <c r="F37" i="4" s="1"/>
  <c r="E41" i="4"/>
  <c r="F41" i="4" s="1"/>
  <c r="E45" i="4"/>
  <c r="F45" i="4" s="1"/>
  <c r="E49" i="4"/>
  <c r="F49" i="4" s="1"/>
  <c r="E53" i="4"/>
  <c r="F53" i="4" s="1"/>
  <c r="E57" i="4"/>
  <c r="F57" i="4" s="1"/>
  <c r="E61" i="4"/>
  <c r="F61" i="4" s="1"/>
  <c r="E65" i="4"/>
  <c r="F65" i="4" s="1"/>
  <c r="E69" i="4"/>
  <c r="F69" i="4" s="1"/>
  <c r="E73" i="4"/>
  <c r="F73" i="4" s="1"/>
  <c r="E77" i="4"/>
  <c r="F77" i="4" s="1"/>
  <c r="E81" i="4"/>
  <c r="F81" i="4" s="1"/>
  <c r="E85" i="4"/>
  <c r="F85" i="4" s="1"/>
  <c r="E89" i="4"/>
  <c r="F89" i="4" s="1"/>
  <c r="E93" i="4"/>
  <c r="F93" i="4" s="1"/>
  <c r="E97" i="4"/>
  <c r="F97" i="4" s="1"/>
  <c r="E101" i="4"/>
  <c r="F101" i="4" s="1"/>
  <c r="E105" i="4"/>
  <c r="F105" i="4" s="1"/>
  <c r="E109" i="4"/>
  <c r="F109" i="4" s="1"/>
  <c r="E113" i="4"/>
  <c r="F113" i="4" s="1"/>
  <c r="E117" i="4"/>
  <c r="F117" i="4" s="1"/>
  <c r="E121" i="4"/>
  <c r="F121" i="4" s="1"/>
  <c r="E125" i="4"/>
  <c r="F125" i="4" s="1"/>
  <c r="E129" i="4"/>
  <c r="F129" i="4" s="1"/>
  <c r="E133" i="4"/>
  <c r="F133" i="4" s="1"/>
  <c r="E137" i="4"/>
  <c r="F137" i="4" s="1"/>
  <c r="E141" i="4"/>
  <c r="F141" i="4" s="1"/>
  <c r="E145" i="4"/>
  <c r="F145" i="4" s="1"/>
  <c r="E149" i="4"/>
  <c r="F149" i="4" s="1"/>
  <c r="E153" i="4"/>
  <c r="F153" i="4" s="1"/>
  <c r="E157" i="4"/>
  <c r="F157" i="4" s="1"/>
  <c r="E161" i="4"/>
  <c r="F161" i="4" s="1"/>
  <c r="E165" i="4"/>
  <c r="F165" i="4" s="1"/>
  <c r="E169" i="4"/>
  <c r="F169" i="4" s="1"/>
  <c r="E173" i="4"/>
  <c r="F173" i="4" s="1"/>
  <c r="E177" i="4"/>
  <c r="F177" i="4" s="1"/>
  <c r="E181" i="4"/>
  <c r="F181" i="4" s="1"/>
  <c r="E185" i="4"/>
  <c r="F185" i="4" s="1"/>
  <c r="E189" i="4"/>
  <c r="F189" i="4" s="1"/>
  <c r="E193" i="4"/>
  <c r="F193" i="4" s="1"/>
  <c r="E197" i="4"/>
  <c r="F197" i="4" s="1"/>
  <c r="E201" i="4"/>
  <c r="F201" i="4" s="1"/>
  <c r="E205" i="4"/>
  <c r="F205" i="4" s="1"/>
  <c r="E209" i="4"/>
  <c r="F209" i="4" s="1"/>
  <c r="E213" i="4"/>
  <c r="F213" i="4" s="1"/>
  <c r="E217" i="4"/>
  <c r="F217" i="4" s="1"/>
  <c r="E221" i="4"/>
  <c r="F221" i="4" s="1"/>
  <c r="E225" i="4"/>
  <c r="F225" i="4" s="1"/>
  <c r="E229" i="4"/>
  <c r="F229" i="4" s="1"/>
  <c r="E233" i="4"/>
  <c r="F233" i="4" s="1"/>
  <c r="E237" i="4"/>
  <c r="F237" i="4" s="1"/>
  <c r="E241" i="4"/>
  <c r="F241" i="4" s="1"/>
  <c r="E245" i="4"/>
  <c r="F245" i="4" s="1"/>
  <c r="E249" i="4"/>
  <c r="F249" i="4" s="1"/>
  <c r="E253" i="4"/>
  <c r="F253" i="4" s="1"/>
  <c r="E257" i="4"/>
  <c r="F257" i="4" s="1"/>
  <c r="H249" i="4" l="1"/>
  <c r="G249" i="4"/>
  <c r="H217" i="4"/>
  <c r="G217" i="4"/>
  <c r="H185" i="4"/>
  <c r="G185" i="4"/>
  <c r="H153" i="4"/>
  <c r="G153" i="4"/>
  <c r="H121" i="4"/>
  <c r="G121" i="4"/>
  <c r="H89" i="4"/>
  <c r="G89" i="4"/>
  <c r="H57" i="4"/>
  <c r="G57" i="4"/>
  <c r="H25" i="4"/>
  <c r="G25" i="4"/>
  <c r="H332" i="4"/>
  <c r="G332" i="4"/>
  <c r="H300" i="4"/>
  <c r="G300" i="4"/>
  <c r="H268" i="4"/>
  <c r="G268" i="4"/>
  <c r="H220" i="4"/>
  <c r="G220" i="4"/>
  <c r="H188" i="4"/>
  <c r="G188" i="4"/>
  <c r="H156" i="4"/>
  <c r="G156" i="4"/>
  <c r="H124" i="4"/>
  <c r="G124" i="4"/>
  <c r="H92" i="4"/>
  <c r="G92" i="4"/>
  <c r="H60" i="4"/>
  <c r="G60" i="4"/>
  <c r="H28" i="4"/>
  <c r="G28" i="4"/>
  <c r="H335" i="4"/>
  <c r="G335" i="4"/>
  <c r="H303" i="4"/>
  <c r="G303" i="4"/>
  <c r="H271" i="4"/>
  <c r="G271" i="4"/>
  <c r="H239" i="4"/>
  <c r="G239" i="4"/>
  <c r="H223" i="4"/>
  <c r="G223" i="4"/>
  <c r="H175" i="4"/>
  <c r="G175" i="4"/>
  <c r="H143" i="4"/>
  <c r="G143" i="4"/>
  <c r="H111" i="4"/>
  <c r="G111" i="4"/>
  <c r="H95" i="4"/>
  <c r="G95" i="4"/>
  <c r="H63" i="4"/>
  <c r="G63" i="4"/>
  <c r="H31" i="4"/>
  <c r="G31" i="4"/>
  <c r="H22" i="4"/>
  <c r="G22" i="4"/>
  <c r="H150" i="4"/>
  <c r="G150" i="4"/>
  <c r="H269" i="4"/>
  <c r="G269" i="4"/>
  <c r="H333" i="4"/>
  <c r="G333" i="4"/>
  <c r="H10" i="4"/>
  <c r="G10" i="4"/>
  <c r="H138" i="4"/>
  <c r="G138" i="4"/>
  <c r="H262" i="4"/>
  <c r="G262" i="4"/>
  <c r="H326" i="4"/>
  <c r="G326" i="4"/>
  <c r="H366" i="4"/>
  <c r="G366" i="4"/>
  <c r="I10" i="11"/>
  <c r="H10" i="11"/>
  <c r="I12" i="11"/>
  <c r="H12" i="11"/>
  <c r="H46" i="4"/>
  <c r="G46" i="4"/>
  <c r="H281" i="4"/>
  <c r="G281" i="4"/>
  <c r="H18" i="4"/>
  <c r="G18" i="4"/>
  <c r="H266" i="4"/>
  <c r="G266" i="4"/>
  <c r="H30" i="4"/>
  <c r="G30" i="4"/>
  <c r="H337" i="4"/>
  <c r="G337" i="4"/>
  <c r="H229" i="4"/>
  <c r="G229" i="4"/>
  <c r="H197" i="4"/>
  <c r="G197" i="4"/>
  <c r="H165" i="4"/>
  <c r="G165" i="4"/>
  <c r="H133" i="4"/>
  <c r="G133" i="4"/>
  <c r="H101" i="4"/>
  <c r="G101" i="4"/>
  <c r="H69" i="4"/>
  <c r="G69" i="4"/>
  <c r="H37" i="4"/>
  <c r="G37" i="4"/>
  <c r="H5" i="4"/>
  <c r="G5" i="4"/>
  <c r="H296" i="4"/>
  <c r="G296" i="4"/>
  <c r="H264" i="4"/>
  <c r="G264" i="4"/>
  <c r="H232" i="4"/>
  <c r="G232" i="4"/>
  <c r="H200" i="4"/>
  <c r="G200" i="4"/>
  <c r="H168" i="4"/>
  <c r="G168" i="4"/>
  <c r="H136" i="4"/>
  <c r="G136" i="4"/>
  <c r="H104" i="4"/>
  <c r="G104" i="4"/>
  <c r="H72" i="4"/>
  <c r="G72" i="4"/>
  <c r="H40" i="4"/>
  <c r="G40" i="4"/>
  <c r="H8" i="4"/>
  <c r="G8" i="4"/>
  <c r="H315" i="4"/>
  <c r="G315" i="4"/>
  <c r="H299" i="4"/>
  <c r="G299" i="4"/>
  <c r="H267" i="4"/>
  <c r="G267" i="4"/>
  <c r="H235" i="4"/>
  <c r="G235" i="4"/>
  <c r="H203" i="4"/>
  <c r="G203" i="4"/>
  <c r="H171" i="4"/>
  <c r="G171" i="4"/>
  <c r="H139" i="4"/>
  <c r="G139" i="4"/>
  <c r="H91" i="4"/>
  <c r="G91" i="4"/>
  <c r="H59" i="4"/>
  <c r="G59" i="4"/>
  <c r="H27" i="4"/>
  <c r="G27" i="4"/>
  <c r="H38" i="4"/>
  <c r="G38" i="4"/>
  <c r="H166" i="4"/>
  <c r="G166" i="4"/>
  <c r="H277" i="4"/>
  <c r="G277" i="4"/>
  <c r="H341" i="4"/>
  <c r="G341" i="4"/>
  <c r="H26" i="4"/>
  <c r="G26" i="4"/>
  <c r="H154" i="4"/>
  <c r="G154" i="4"/>
  <c r="H270" i="4"/>
  <c r="G270" i="4"/>
  <c r="H334" i="4"/>
  <c r="G334" i="4"/>
  <c r="I2" i="11"/>
  <c r="H2" i="11"/>
  <c r="D4" i="9"/>
  <c r="E4" i="9" s="1"/>
  <c r="C5" i="9"/>
  <c r="H78" i="4"/>
  <c r="G78" i="4"/>
  <c r="H297" i="4"/>
  <c r="G297" i="4"/>
  <c r="H50" i="4"/>
  <c r="G50" i="4"/>
  <c r="H344" i="4"/>
  <c r="G344" i="4"/>
  <c r="H257" i="4"/>
  <c r="G257" i="4"/>
  <c r="H241" i="4"/>
  <c r="G241" i="4"/>
  <c r="H225" i="4"/>
  <c r="G225" i="4"/>
  <c r="H209" i="4"/>
  <c r="G209" i="4"/>
  <c r="H193" i="4"/>
  <c r="G193" i="4"/>
  <c r="H177" i="4"/>
  <c r="G177" i="4"/>
  <c r="H161" i="4"/>
  <c r="G161" i="4"/>
  <c r="H145" i="4"/>
  <c r="G145" i="4"/>
  <c r="H129" i="4"/>
  <c r="G129" i="4"/>
  <c r="H113" i="4"/>
  <c r="G113" i="4"/>
  <c r="H97" i="4"/>
  <c r="G97" i="4"/>
  <c r="H81" i="4"/>
  <c r="G81" i="4"/>
  <c r="H65" i="4"/>
  <c r="G65" i="4"/>
  <c r="H49" i="4"/>
  <c r="G49" i="4"/>
  <c r="H33" i="4"/>
  <c r="G33" i="4"/>
  <c r="H17" i="4"/>
  <c r="G17" i="4"/>
  <c r="H340" i="4"/>
  <c r="G340" i="4"/>
  <c r="H324" i="4"/>
  <c r="G324" i="4"/>
  <c r="H308" i="4"/>
  <c r="G308" i="4"/>
  <c r="H292" i="4"/>
  <c r="G292" i="4"/>
  <c r="H276" i="4"/>
  <c r="G276" i="4"/>
  <c r="H260" i="4"/>
  <c r="G260" i="4"/>
  <c r="H244" i="4"/>
  <c r="G244" i="4"/>
  <c r="H228" i="4"/>
  <c r="G228" i="4"/>
  <c r="H212" i="4"/>
  <c r="G212" i="4"/>
  <c r="H196" i="4"/>
  <c r="G196" i="4"/>
  <c r="H180" i="4"/>
  <c r="G180" i="4"/>
  <c r="H164" i="4"/>
  <c r="G164" i="4"/>
  <c r="H148" i="4"/>
  <c r="G148" i="4"/>
  <c r="H132" i="4"/>
  <c r="G132" i="4"/>
  <c r="H116" i="4"/>
  <c r="G116" i="4"/>
  <c r="H100" i="4"/>
  <c r="G100" i="4"/>
  <c r="H84" i="4"/>
  <c r="G84" i="4"/>
  <c r="H68" i="4"/>
  <c r="G68" i="4"/>
  <c r="H52" i="4"/>
  <c r="G52" i="4"/>
  <c r="H36" i="4"/>
  <c r="G36" i="4"/>
  <c r="H20" i="4"/>
  <c r="G20" i="4"/>
  <c r="H4" i="4"/>
  <c r="G4" i="4"/>
  <c r="H327" i="4"/>
  <c r="G327" i="4"/>
  <c r="H311" i="4"/>
  <c r="G311" i="4"/>
  <c r="H295" i="4"/>
  <c r="G295" i="4"/>
  <c r="H279" i="4"/>
  <c r="G279" i="4"/>
  <c r="H263" i="4"/>
  <c r="G263" i="4"/>
  <c r="H247" i="4"/>
  <c r="G247" i="4"/>
  <c r="H231" i="4"/>
  <c r="G231" i="4"/>
  <c r="H215" i="4"/>
  <c r="G215" i="4"/>
  <c r="H199" i="4"/>
  <c r="G199" i="4"/>
  <c r="H183" i="4"/>
  <c r="G183" i="4"/>
  <c r="H167" i="4"/>
  <c r="G167" i="4"/>
  <c r="H151" i="4"/>
  <c r="G151" i="4"/>
  <c r="H135" i="4"/>
  <c r="G135" i="4"/>
  <c r="H119" i="4"/>
  <c r="G119" i="4"/>
  <c r="H103" i="4"/>
  <c r="G103" i="4"/>
  <c r="H87" i="4"/>
  <c r="G87" i="4"/>
  <c r="H71" i="4"/>
  <c r="G71" i="4"/>
  <c r="H55" i="4"/>
  <c r="G55" i="4"/>
  <c r="H39" i="4"/>
  <c r="G39" i="4"/>
  <c r="H23" i="4"/>
  <c r="G23" i="4"/>
  <c r="H7" i="4"/>
  <c r="G7" i="4"/>
  <c r="H54" i="4"/>
  <c r="G54" i="4"/>
  <c r="H118" i="4"/>
  <c r="G118" i="4"/>
  <c r="H182" i="4"/>
  <c r="G182" i="4"/>
  <c r="H246" i="4"/>
  <c r="G246" i="4"/>
  <c r="H285" i="4"/>
  <c r="G285" i="4"/>
  <c r="H317" i="4"/>
  <c r="G317" i="4"/>
  <c r="H345" i="4"/>
  <c r="G345" i="4"/>
  <c r="H361" i="4"/>
  <c r="G361" i="4"/>
  <c r="H42" i="4"/>
  <c r="G42" i="4"/>
  <c r="H106" i="4"/>
  <c r="G106" i="4"/>
  <c r="H170" i="4"/>
  <c r="G170" i="4"/>
  <c r="H234" i="4"/>
  <c r="G234" i="4"/>
  <c r="H278" i="4"/>
  <c r="G278" i="4"/>
  <c r="H310" i="4"/>
  <c r="G310" i="4"/>
  <c r="H342" i="4"/>
  <c r="G342" i="4"/>
  <c r="H358" i="4"/>
  <c r="G358" i="4"/>
  <c r="I13" i="11"/>
  <c r="H13" i="11"/>
  <c r="I4" i="11"/>
  <c r="H4" i="11"/>
  <c r="K5" i="6"/>
  <c r="L6" i="10"/>
  <c r="H110" i="4"/>
  <c r="G110" i="4"/>
  <c r="H238" i="4"/>
  <c r="G238" i="4"/>
  <c r="H313" i="4"/>
  <c r="G313" i="4"/>
  <c r="H359" i="4"/>
  <c r="G359" i="4"/>
  <c r="H82" i="4"/>
  <c r="G82" i="4"/>
  <c r="H210" i="4"/>
  <c r="G210" i="4"/>
  <c r="H298" i="4"/>
  <c r="G298" i="4"/>
  <c r="H352" i="4"/>
  <c r="G352" i="4"/>
  <c r="H94" i="4"/>
  <c r="G94" i="4"/>
  <c r="H222" i="4"/>
  <c r="G222" i="4"/>
  <c r="H305" i="4"/>
  <c r="G305" i="4"/>
  <c r="H355" i="4"/>
  <c r="G355" i="4"/>
  <c r="F4" i="3"/>
  <c r="G4" i="3"/>
  <c r="F5" i="3"/>
  <c r="G5" i="3"/>
  <c r="H233" i="4"/>
  <c r="G233" i="4"/>
  <c r="H201" i="4"/>
  <c r="G201" i="4"/>
  <c r="H169" i="4"/>
  <c r="G169" i="4"/>
  <c r="H137" i="4"/>
  <c r="G137" i="4"/>
  <c r="H105" i="4"/>
  <c r="G105" i="4"/>
  <c r="H73" i="4"/>
  <c r="G73" i="4"/>
  <c r="H41" i="4"/>
  <c r="G41" i="4"/>
  <c r="H9" i="4"/>
  <c r="G9" i="4"/>
  <c r="H316" i="4"/>
  <c r="G316" i="4"/>
  <c r="H284" i="4"/>
  <c r="G284" i="4"/>
  <c r="H252" i="4"/>
  <c r="G252" i="4"/>
  <c r="H236" i="4"/>
  <c r="G236" i="4"/>
  <c r="H204" i="4"/>
  <c r="G204" i="4"/>
  <c r="H172" i="4"/>
  <c r="G172" i="4"/>
  <c r="H140" i="4"/>
  <c r="G140" i="4"/>
  <c r="H108" i="4"/>
  <c r="G108" i="4"/>
  <c r="H76" i="4"/>
  <c r="G76" i="4"/>
  <c r="H44" i="4"/>
  <c r="G44" i="4"/>
  <c r="H12" i="4"/>
  <c r="G12" i="4"/>
  <c r="H319" i="4"/>
  <c r="G319" i="4"/>
  <c r="H287" i="4"/>
  <c r="G287" i="4"/>
  <c r="H255" i="4"/>
  <c r="G255" i="4"/>
  <c r="H207" i="4"/>
  <c r="G207" i="4"/>
  <c r="H191" i="4"/>
  <c r="G191" i="4"/>
  <c r="H159" i="4"/>
  <c r="G159" i="4"/>
  <c r="H127" i="4"/>
  <c r="G127" i="4"/>
  <c r="H79" i="4"/>
  <c r="G79" i="4"/>
  <c r="H47" i="4"/>
  <c r="G47" i="4"/>
  <c r="H15" i="4"/>
  <c r="G15" i="4"/>
  <c r="H86" i="4"/>
  <c r="G86" i="4"/>
  <c r="H214" i="4"/>
  <c r="G214" i="4"/>
  <c r="H301" i="4"/>
  <c r="G301" i="4"/>
  <c r="H353" i="4"/>
  <c r="G353" i="4"/>
  <c r="H74" i="4"/>
  <c r="G74" i="4"/>
  <c r="H202" i="4"/>
  <c r="G202" i="4"/>
  <c r="H294" i="4"/>
  <c r="G294" i="4"/>
  <c r="H350" i="4"/>
  <c r="G350" i="4"/>
  <c r="I7" i="11"/>
  <c r="H7" i="11"/>
  <c r="H174" i="4"/>
  <c r="G174" i="4"/>
  <c r="H343" i="4"/>
  <c r="G343" i="4"/>
  <c r="H146" i="4"/>
  <c r="G146" i="4"/>
  <c r="H330" i="4"/>
  <c r="G330" i="4"/>
  <c r="H158" i="4"/>
  <c r="G158" i="4"/>
  <c r="H273" i="4"/>
  <c r="G273" i="4"/>
  <c r="H245" i="4"/>
  <c r="G245" i="4"/>
  <c r="H213" i="4"/>
  <c r="G213" i="4"/>
  <c r="H181" i="4"/>
  <c r="G181" i="4"/>
  <c r="H149" i="4"/>
  <c r="G149" i="4"/>
  <c r="H117" i="4"/>
  <c r="G117" i="4"/>
  <c r="H85" i="4"/>
  <c r="G85" i="4"/>
  <c r="H53" i="4"/>
  <c r="G53" i="4"/>
  <c r="H21" i="4"/>
  <c r="G21" i="4"/>
  <c r="H328" i="4"/>
  <c r="G328" i="4"/>
  <c r="H312" i="4"/>
  <c r="G312" i="4"/>
  <c r="H280" i="4"/>
  <c r="G280" i="4"/>
  <c r="H248" i="4"/>
  <c r="G248" i="4"/>
  <c r="H216" i="4"/>
  <c r="G216" i="4"/>
  <c r="H184" i="4"/>
  <c r="G184" i="4"/>
  <c r="H152" i="4"/>
  <c r="G152" i="4"/>
  <c r="H120" i="4"/>
  <c r="G120" i="4"/>
  <c r="H88" i="4"/>
  <c r="G88" i="4"/>
  <c r="H56" i="4"/>
  <c r="G56" i="4"/>
  <c r="H24" i="4"/>
  <c r="G24" i="4"/>
  <c r="H331" i="4"/>
  <c r="G331" i="4"/>
  <c r="H283" i="4"/>
  <c r="G283" i="4"/>
  <c r="H251" i="4"/>
  <c r="G251" i="4"/>
  <c r="H219" i="4"/>
  <c r="G219" i="4"/>
  <c r="H187" i="4"/>
  <c r="G187" i="4"/>
  <c r="H155" i="4"/>
  <c r="G155" i="4"/>
  <c r="H123" i="4"/>
  <c r="G123" i="4"/>
  <c r="H107" i="4"/>
  <c r="G107" i="4"/>
  <c r="H75" i="4"/>
  <c r="G75" i="4"/>
  <c r="H43" i="4"/>
  <c r="G43" i="4"/>
  <c r="H11" i="4"/>
  <c r="G11" i="4"/>
  <c r="H102" i="4"/>
  <c r="G102" i="4"/>
  <c r="H230" i="4"/>
  <c r="G230" i="4"/>
  <c r="H309" i="4"/>
  <c r="G309" i="4"/>
  <c r="H357" i="4"/>
  <c r="G357" i="4"/>
  <c r="H90" i="4"/>
  <c r="G90" i="4"/>
  <c r="H218" i="4"/>
  <c r="G218" i="4"/>
  <c r="H302" i="4"/>
  <c r="G302" i="4"/>
  <c r="H354" i="4"/>
  <c r="G354" i="4"/>
  <c r="I9" i="11"/>
  <c r="H9" i="11"/>
  <c r="I11" i="11"/>
  <c r="H11" i="11"/>
  <c r="I5" i="11"/>
  <c r="H5" i="11"/>
  <c r="H206" i="4"/>
  <c r="G206" i="4"/>
  <c r="H351" i="4"/>
  <c r="G351" i="4"/>
  <c r="H178" i="4"/>
  <c r="G178" i="4"/>
  <c r="H282" i="4"/>
  <c r="G282" i="4"/>
  <c r="H62" i="4"/>
  <c r="G62" i="4"/>
  <c r="H190" i="4"/>
  <c r="G190" i="4"/>
  <c r="H289" i="4"/>
  <c r="G289" i="4"/>
  <c r="H347" i="4"/>
  <c r="G347" i="4"/>
  <c r="H253" i="4"/>
  <c r="G253" i="4"/>
  <c r="H237" i="4"/>
  <c r="G237" i="4"/>
  <c r="H221" i="4"/>
  <c r="G221" i="4"/>
  <c r="H205" i="4"/>
  <c r="G205" i="4"/>
  <c r="H189" i="4"/>
  <c r="G189" i="4"/>
  <c r="H173" i="4"/>
  <c r="G173" i="4"/>
  <c r="H157" i="4"/>
  <c r="G157" i="4"/>
  <c r="H141" i="4"/>
  <c r="G141" i="4"/>
  <c r="H125" i="4"/>
  <c r="G125" i="4"/>
  <c r="H109" i="4"/>
  <c r="G109" i="4"/>
  <c r="H93" i="4"/>
  <c r="G93" i="4"/>
  <c r="H77" i="4"/>
  <c r="G77" i="4"/>
  <c r="H61" i="4"/>
  <c r="G61" i="4"/>
  <c r="H45" i="4"/>
  <c r="G45" i="4"/>
  <c r="H29" i="4"/>
  <c r="G29" i="4"/>
  <c r="H13" i="4"/>
  <c r="G13" i="4"/>
  <c r="H336" i="4"/>
  <c r="G336" i="4"/>
  <c r="H320" i="4"/>
  <c r="G320" i="4"/>
  <c r="H304" i="4"/>
  <c r="G304" i="4"/>
  <c r="H288" i="4"/>
  <c r="G288" i="4"/>
  <c r="H272" i="4"/>
  <c r="G272" i="4"/>
  <c r="H256" i="4"/>
  <c r="G256" i="4"/>
  <c r="H240" i="4"/>
  <c r="G240" i="4"/>
  <c r="H224" i="4"/>
  <c r="G224" i="4"/>
  <c r="H208" i="4"/>
  <c r="G208" i="4"/>
  <c r="H192" i="4"/>
  <c r="G192" i="4"/>
  <c r="H176" i="4"/>
  <c r="G176" i="4"/>
  <c r="H160" i="4"/>
  <c r="G160" i="4"/>
  <c r="H144" i="4"/>
  <c r="G144" i="4"/>
  <c r="H128" i="4"/>
  <c r="G128" i="4"/>
  <c r="H112" i="4"/>
  <c r="G112" i="4"/>
  <c r="H96" i="4"/>
  <c r="G96" i="4"/>
  <c r="H80" i="4"/>
  <c r="G80" i="4"/>
  <c r="H64" i="4"/>
  <c r="G64" i="4"/>
  <c r="H48" i="4"/>
  <c r="G48" i="4"/>
  <c r="H32" i="4"/>
  <c r="G32" i="4"/>
  <c r="H16" i="4"/>
  <c r="G16" i="4"/>
  <c r="H339" i="4"/>
  <c r="G339" i="4"/>
  <c r="H323" i="4"/>
  <c r="G323" i="4"/>
  <c r="H307" i="4"/>
  <c r="G307" i="4"/>
  <c r="H291" i="4"/>
  <c r="G291" i="4"/>
  <c r="H275" i="4"/>
  <c r="G275" i="4"/>
  <c r="H259" i="4"/>
  <c r="G259" i="4"/>
  <c r="H243" i="4"/>
  <c r="G243" i="4"/>
  <c r="H227" i="4"/>
  <c r="G227" i="4"/>
  <c r="H211" i="4"/>
  <c r="G211" i="4"/>
  <c r="H195" i="4"/>
  <c r="G195" i="4"/>
  <c r="H179" i="4"/>
  <c r="G179" i="4"/>
  <c r="H163" i="4"/>
  <c r="G163" i="4"/>
  <c r="H147" i="4"/>
  <c r="G147" i="4"/>
  <c r="H131" i="4"/>
  <c r="G131" i="4"/>
  <c r="H115" i="4"/>
  <c r="G115" i="4"/>
  <c r="H99" i="4"/>
  <c r="G99" i="4"/>
  <c r="H83" i="4"/>
  <c r="G83" i="4"/>
  <c r="H67" i="4"/>
  <c r="G67" i="4"/>
  <c r="H51" i="4"/>
  <c r="G51" i="4"/>
  <c r="H35" i="4"/>
  <c r="G35" i="4"/>
  <c r="H19" i="4"/>
  <c r="G19" i="4"/>
  <c r="H3" i="4"/>
  <c r="G3" i="4"/>
  <c r="H70" i="4"/>
  <c r="G70" i="4"/>
  <c r="H134" i="4"/>
  <c r="G134" i="4"/>
  <c r="H198" i="4"/>
  <c r="G198" i="4"/>
  <c r="H261" i="4"/>
  <c r="G261" i="4"/>
  <c r="H293" i="4"/>
  <c r="G293" i="4"/>
  <c r="H325" i="4"/>
  <c r="G325" i="4"/>
  <c r="H349" i="4"/>
  <c r="G349" i="4"/>
  <c r="H365" i="4"/>
  <c r="G365" i="4"/>
  <c r="H58" i="4"/>
  <c r="G58" i="4"/>
  <c r="H122" i="4"/>
  <c r="G122" i="4"/>
  <c r="H186" i="4"/>
  <c r="G186" i="4"/>
  <c r="H250" i="4"/>
  <c r="G250" i="4"/>
  <c r="H286" i="4"/>
  <c r="G286" i="4"/>
  <c r="H318" i="4"/>
  <c r="G318" i="4"/>
  <c r="H346" i="4"/>
  <c r="G346" i="4"/>
  <c r="H362" i="4"/>
  <c r="G362" i="4"/>
  <c r="E6" i="11"/>
  <c r="F6" i="11" s="1"/>
  <c r="G6" i="11" s="1"/>
  <c r="I3" i="11"/>
  <c r="H3" i="11"/>
  <c r="I8" i="11"/>
  <c r="H8" i="11"/>
  <c r="K6" i="6"/>
  <c r="K7" i="6" s="1"/>
  <c r="K7" i="8"/>
  <c r="L7" i="10"/>
  <c r="L8" i="10" s="1"/>
  <c r="H14" i="4"/>
  <c r="G14" i="4"/>
  <c r="H142" i="4"/>
  <c r="G142" i="4"/>
  <c r="H265" i="4"/>
  <c r="G265" i="4"/>
  <c r="H329" i="4"/>
  <c r="G329" i="4"/>
  <c r="K6" i="4"/>
  <c r="H2" i="4"/>
  <c r="G2" i="4"/>
  <c r="H114" i="4"/>
  <c r="G114" i="4"/>
  <c r="H242" i="4"/>
  <c r="G242" i="4"/>
  <c r="H314" i="4"/>
  <c r="G314" i="4"/>
  <c r="H360" i="4"/>
  <c r="G360" i="4"/>
  <c r="H126" i="4"/>
  <c r="G126" i="4"/>
  <c r="H254" i="4"/>
  <c r="G254" i="4"/>
  <c r="H321" i="4"/>
  <c r="G321" i="4"/>
  <c r="H363" i="4"/>
  <c r="G363" i="4"/>
  <c r="C7" i="3"/>
  <c r="D6" i="3"/>
  <c r="E6" i="3" s="1"/>
  <c r="G23" i="2"/>
  <c r="G55" i="2"/>
  <c r="G87" i="2"/>
  <c r="G119" i="2"/>
  <c r="G151" i="2"/>
  <c r="G183" i="2"/>
  <c r="G215" i="2"/>
  <c r="G247" i="2"/>
  <c r="G279" i="2"/>
  <c r="G311" i="2"/>
  <c r="G343" i="2"/>
  <c r="F12" i="2"/>
  <c r="F36" i="2"/>
  <c r="F44" i="2"/>
  <c r="F68" i="2"/>
  <c r="F76" i="2"/>
  <c r="F100" i="2"/>
  <c r="F108" i="2"/>
  <c r="F132" i="2"/>
  <c r="F140" i="2"/>
  <c r="F164" i="2"/>
  <c r="F172" i="2"/>
  <c r="F196" i="2"/>
  <c r="F204" i="2"/>
  <c r="F228" i="2"/>
  <c r="F236" i="2"/>
  <c r="F260" i="2"/>
  <c r="F310" i="2"/>
  <c r="F322" i="2"/>
  <c r="F326" i="2"/>
  <c r="F338" i="2"/>
  <c r="F342" i="2"/>
  <c r="F354" i="2"/>
  <c r="F358" i="2"/>
  <c r="E7" i="2"/>
  <c r="F7" i="2" s="1"/>
  <c r="E11" i="2"/>
  <c r="E23" i="2"/>
  <c r="F23" i="2" s="1"/>
  <c r="E27" i="2"/>
  <c r="E39" i="2"/>
  <c r="F39" i="2" s="1"/>
  <c r="E43" i="2"/>
  <c r="E55" i="2"/>
  <c r="F55" i="2" s="1"/>
  <c r="E59" i="2"/>
  <c r="E71" i="2"/>
  <c r="F71" i="2" s="1"/>
  <c r="E75" i="2"/>
  <c r="E87" i="2"/>
  <c r="F87" i="2" s="1"/>
  <c r="E91" i="2"/>
  <c r="E103" i="2"/>
  <c r="F103" i="2" s="1"/>
  <c r="E107" i="2"/>
  <c r="E119" i="2"/>
  <c r="F119" i="2" s="1"/>
  <c r="E123" i="2"/>
  <c r="E135" i="2"/>
  <c r="F135" i="2" s="1"/>
  <c r="E139" i="2"/>
  <c r="E151" i="2"/>
  <c r="F151" i="2" s="1"/>
  <c r="E155" i="2"/>
  <c r="E167" i="2"/>
  <c r="F167" i="2" s="1"/>
  <c r="E171" i="2"/>
  <c r="E183" i="2"/>
  <c r="F183" i="2" s="1"/>
  <c r="E187" i="2"/>
  <c r="E199" i="2"/>
  <c r="F199" i="2" s="1"/>
  <c r="E203" i="2"/>
  <c r="E215" i="2"/>
  <c r="F215" i="2" s="1"/>
  <c r="E219" i="2"/>
  <c r="E231" i="2"/>
  <c r="F231" i="2" s="1"/>
  <c r="E235" i="2"/>
  <c r="E247" i="2"/>
  <c r="F247" i="2" s="1"/>
  <c r="E251" i="2"/>
  <c r="E263" i="2"/>
  <c r="F263" i="2" s="1"/>
  <c r="E267" i="2"/>
  <c r="G267" i="2" s="1"/>
  <c r="E279" i="2"/>
  <c r="F279" i="2" s="1"/>
  <c r="E283" i="2"/>
  <c r="G283" i="2" s="1"/>
  <c r="E295" i="2"/>
  <c r="F295" i="2" s="1"/>
  <c r="E299" i="2"/>
  <c r="G299" i="2" s="1"/>
  <c r="E311" i="2"/>
  <c r="F311" i="2" s="1"/>
  <c r="E315" i="2"/>
  <c r="E327" i="2"/>
  <c r="F327" i="2" s="1"/>
  <c r="E331" i="2"/>
  <c r="E343" i="2"/>
  <c r="F343" i="2" s="1"/>
  <c r="E347" i="2"/>
  <c r="E359" i="2"/>
  <c r="F359" i="2" s="1"/>
  <c r="E363" i="2"/>
  <c r="D8" i="2"/>
  <c r="E8" i="2" s="1"/>
  <c r="D12" i="2"/>
  <c r="E12" i="2" s="1"/>
  <c r="G12" i="2" s="1"/>
  <c r="D16" i="2"/>
  <c r="E16" i="2" s="1"/>
  <c r="D20" i="2"/>
  <c r="E20" i="2" s="1"/>
  <c r="G20" i="2" s="1"/>
  <c r="D24" i="2"/>
  <c r="E24" i="2" s="1"/>
  <c r="D28" i="2"/>
  <c r="E28" i="2" s="1"/>
  <c r="G28" i="2" s="1"/>
  <c r="D32" i="2"/>
  <c r="E32" i="2" s="1"/>
  <c r="D36" i="2"/>
  <c r="E36" i="2" s="1"/>
  <c r="G36" i="2" s="1"/>
  <c r="D40" i="2"/>
  <c r="E40" i="2" s="1"/>
  <c r="D44" i="2"/>
  <c r="E44" i="2" s="1"/>
  <c r="G44" i="2" s="1"/>
  <c r="D48" i="2"/>
  <c r="E48" i="2" s="1"/>
  <c r="D52" i="2"/>
  <c r="E52" i="2" s="1"/>
  <c r="G52" i="2" s="1"/>
  <c r="D56" i="2"/>
  <c r="E56" i="2" s="1"/>
  <c r="D60" i="2"/>
  <c r="E60" i="2" s="1"/>
  <c r="G60" i="2" s="1"/>
  <c r="D64" i="2"/>
  <c r="E64" i="2" s="1"/>
  <c r="D68" i="2"/>
  <c r="E68" i="2" s="1"/>
  <c r="G68" i="2" s="1"/>
  <c r="D72" i="2"/>
  <c r="E72" i="2" s="1"/>
  <c r="D76" i="2"/>
  <c r="E76" i="2" s="1"/>
  <c r="G76" i="2" s="1"/>
  <c r="D80" i="2"/>
  <c r="E80" i="2" s="1"/>
  <c r="D84" i="2"/>
  <c r="E84" i="2" s="1"/>
  <c r="G84" i="2" s="1"/>
  <c r="D88" i="2"/>
  <c r="E88" i="2" s="1"/>
  <c r="D92" i="2"/>
  <c r="E92" i="2" s="1"/>
  <c r="G92" i="2" s="1"/>
  <c r="D96" i="2"/>
  <c r="E96" i="2" s="1"/>
  <c r="D100" i="2"/>
  <c r="E100" i="2" s="1"/>
  <c r="G100" i="2" s="1"/>
  <c r="D104" i="2"/>
  <c r="E104" i="2" s="1"/>
  <c r="D108" i="2"/>
  <c r="E108" i="2" s="1"/>
  <c r="G108" i="2" s="1"/>
  <c r="D112" i="2"/>
  <c r="E112" i="2" s="1"/>
  <c r="D116" i="2"/>
  <c r="E116" i="2" s="1"/>
  <c r="G116" i="2" s="1"/>
  <c r="D120" i="2"/>
  <c r="E120" i="2" s="1"/>
  <c r="D124" i="2"/>
  <c r="E124" i="2" s="1"/>
  <c r="G124" i="2" s="1"/>
  <c r="D128" i="2"/>
  <c r="E128" i="2" s="1"/>
  <c r="D132" i="2"/>
  <c r="E132" i="2" s="1"/>
  <c r="G132" i="2" s="1"/>
  <c r="D136" i="2"/>
  <c r="E136" i="2" s="1"/>
  <c r="D140" i="2"/>
  <c r="E140" i="2" s="1"/>
  <c r="G140" i="2" s="1"/>
  <c r="D144" i="2"/>
  <c r="E144" i="2" s="1"/>
  <c r="D148" i="2"/>
  <c r="E148" i="2" s="1"/>
  <c r="G148" i="2" s="1"/>
  <c r="D152" i="2"/>
  <c r="E152" i="2" s="1"/>
  <c r="D156" i="2"/>
  <c r="E156" i="2" s="1"/>
  <c r="G156" i="2" s="1"/>
  <c r="D160" i="2"/>
  <c r="E160" i="2" s="1"/>
  <c r="D164" i="2"/>
  <c r="E164" i="2" s="1"/>
  <c r="G164" i="2" s="1"/>
  <c r="D168" i="2"/>
  <c r="E168" i="2" s="1"/>
  <c r="D172" i="2"/>
  <c r="E172" i="2" s="1"/>
  <c r="G172" i="2" s="1"/>
  <c r="D176" i="2"/>
  <c r="E176" i="2" s="1"/>
  <c r="D180" i="2"/>
  <c r="E180" i="2" s="1"/>
  <c r="G180" i="2" s="1"/>
  <c r="D184" i="2"/>
  <c r="E184" i="2" s="1"/>
  <c r="D188" i="2"/>
  <c r="E188" i="2" s="1"/>
  <c r="G188" i="2" s="1"/>
  <c r="D192" i="2"/>
  <c r="E192" i="2" s="1"/>
  <c r="D196" i="2"/>
  <c r="E196" i="2" s="1"/>
  <c r="G196" i="2" s="1"/>
  <c r="D200" i="2"/>
  <c r="E200" i="2" s="1"/>
  <c r="D204" i="2"/>
  <c r="E204" i="2" s="1"/>
  <c r="G204" i="2" s="1"/>
  <c r="D208" i="2"/>
  <c r="E208" i="2" s="1"/>
  <c r="D212" i="2"/>
  <c r="E212" i="2" s="1"/>
  <c r="G212" i="2" s="1"/>
  <c r="D216" i="2"/>
  <c r="E216" i="2" s="1"/>
  <c r="D220" i="2"/>
  <c r="E220" i="2" s="1"/>
  <c r="G220" i="2" s="1"/>
  <c r="D224" i="2"/>
  <c r="E224" i="2" s="1"/>
  <c r="D228" i="2"/>
  <c r="E228" i="2" s="1"/>
  <c r="G228" i="2" s="1"/>
  <c r="D232" i="2"/>
  <c r="E232" i="2" s="1"/>
  <c r="D236" i="2"/>
  <c r="E236" i="2" s="1"/>
  <c r="G236" i="2" s="1"/>
  <c r="D240" i="2"/>
  <c r="E240" i="2" s="1"/>
  <c r="D244" i="2"/>
  <c r="E244" i="2" s="1"/>
  <c r="G244" i="2" s="1"/>
  <c r="D248" i="2"/>
  <c r="E248" i="2" s="1"/>
  <c r="D252" i="2"/>
  <c r="E252" i="2" s="1"/>
  <c r="G252" i="2" s="1"/>
  <c r="D256" i="2"/>
  <c r="E256" i="2" s="1"/>
  <c r="D260" i="2"/>
  <c r="E260" i="2" s="1"/>
  <c r="G260" i="2" s="1"/>
  <c r="D264" i="2"/>
  <c r="E264" i="2" s="1"/>
  <c r="D268" i="2"/>
  <c r="E268" i="2" s="1"/>
  <c r="D272" i="2"/>
  <c r="E272" i="2" s="1"/>
  <c r="G272" i="2" s="1"/>
  <c r="D276" i="2"/>
  <c r="E276" i="2" s="1"/>
  <c r="D280" i="2"/>
  <c r="E280" i="2" s="1"/>
  <c r="D284" i="2"/>
  <c r="E284" i="2" s="1"/>
  <c r="D288" i="2"/>
  <c r="E288" i="2" s="1"/>
  <c r="G288" i="2" s="1"/>
  <c r="D292" i="2"/>
  <c r="E292" i="2" s="1"/>
  <c r="D296" i="2"/>
  <c r="E296" i="2" s="1"/>
  <c r="D300" i="2"/>
  <c r="E300" i="2" s="1"/>
  <c r="D304" i="2"/>
  <c r="E304" i="2" s="1"/>
  <c r="G304" i="2" s="1"/>
  <c r="D308" i="2"/>
  <c r="E308" i="2" s="1"/>
  <c r="D312" i="2"/>
  <c r="E312" i="2" s="1"/>
  <c r="D316" i="2"/>
  <c r="E316" i="2" s="1"/>
  <c r="D320" i="2"/>
  <c r="E320" i="2" s="1"/>
  <c r="D324" i="2"/>
  <c r="E324" i="2" s="1"/>
  <c r="D328" i="2"/>
  <c r="E328" i="2" s="1"/>
  <c r="D332" i="2"/>
  <c r="E332" i="2" s="1"/>
  <c r="D336" i="2"/>
  <c r="E336" i="2" s="1"/>
  <c r="D340" i="2"/>
  <c r="E340" i="2" s="1"/>
  <c r="D344" i="2"/>
  <c r="E344" i="2" s="1"/>
  <c r="D348" i="2"/>
  <c r="E348" i="2" s="1"/>
  <c r="D352" i="2"/>
  <c r="E352" i="2" s="1"/>
  <c r="D356" i="2"/>
  <c r="E356" i="2" s="1"/>
  <c r="D360" i="2"/>
  <c r="E360" i="2" s="1"/>
  <c r="D364" i="2"/>
  <c r="E364" i="2" s="1"/>
  <c r="C6" i="2"/>
  <c r="D6" i="2" s="1"/>
  <c r="E6" i="2" s="1"/>
  <c r="C5" i="2"/>
  <c r="D5" i="2" s="1"/>
  <c r="E5" i="2" s="1"/>
  <c r="C7" i="2"/>
  <c r="D7" i="2" s="1"/>
  <c r="C8" i="2"/>
  <c r="C9" i="2"/>
  <c r="D9" i="2" s="1"/>
  <c r="E9" i="2" s="1"/>
  <c r="C10" i="2"/>
  <c r="D10" i="2" s="1"/>
  <c r="E10" i="2" s="1"/>
  <c r="C11" i="2"/>
  <c r="D11" i="2" s="1"/>
  <c r="C12" i="2"/>
  <c r="C13" i="2"/>
  <c r="D13" i="2" s="1"/>
  <c r="E13" i="2" s="1"/>
  <c r="C14" i="2"/>
  <c r="D14" i="2" s="1"/>
  <c r="E14" i="2" s="1"/>
  <c r="C15" i="2"/>
  <c r="D15" i="2" s="1"/>
  <c r="E15" i="2" s="1"/>
  <c r="C16" i="2"/>
  <c r="C17" i="2"/>
  <c r="D17" i="2" s="1"/>
  <c r="E17" i="2" s="1"/>
  <c r="C18" i="2"/>
  <c r="D18" i="2" s="1"/>
  <c r="E18" i="2" s="1"/>
  <c r="C19" i="2"/>
  <c r="D19" i="2" s="1"/>
  <c r="E19" i="2" s="1"/>
  <c r="C20" i="2"/>
  <c r="C21" i="2"/>
  <c r="D21" i="2" s="1"/>
  <c r="E21" i="2" s="1"/>
  <c r="C22" i="2"/>
  <c r="D22" i="2" s="1"/>
  <c r="E22" i="2" s="1"/>
  <c r="C23" i="2"/>
  <c r="D23" i="2" s="1"/>
  <c r="C24" i="2"/>
  <c r="C25" i="2"/>
  <c r="D25" i="2" s="1"/>
  <c r="E25" i="2" s="1"/>
  <c r="C26" i="2"/>
  <c r="D26" i="2" s="1"/>
  <c r="E26" i="2" s="1"/>
  <c r="C27" i="2"/>
  <c r="D27" i="2" s="1"/>
  <c r="C28" i="2"/>
  <c r="C29" i="2"/>
  <c r="D29" i="2" s="1"/>
  <c r="E29" i="2" s="1"/>
  <c r="C30" i="2"/>
  <c r="D30" i="2" s="1"/>
  <c r="E30" i="2" s="1"/>
  <c r="C31" i="2"/>
  <c r="D31" i="2" s="1"/>
  <c r="E31" i="2" s="1"/>
  <c r="C32" i="2"/>
  <c r="C33" i="2"/>
  <c r="D33" i="2" s="1"/>
  <c r="E33" i="2" s="1"/>
  <c r="C34" i="2"/>
  <c r="D34" i="2" s="1"/>
  <c r="E34" i="2" s="1"/>
  <c r="C35" i="2"/>
  <c r="D35" i="2" s="1"/>
  <c r="E35" i="2" s="1"/>
  <c r="C36" i="2"/>
  <c r="C37" i="2"/>
  <c r="D37" i="2" s="1"/>
  <c r="E37" i="2" s="1"/>
  <c r="C38" i="2"/>
  <c r="D38" i="2" s="1"/>
  <c r="E38" i="2" s="1"/>
  <c r="C39" i="2"/>
  <c r="D39" i="2" s="1"/>
  <c r="C40" i="2"/>
  <c r="C41" i="2"/>
  <c r="D41" i="2" s="1"/>
  <c r="E41" i="2" s="1"/>
  <c r="C42" i="2"/>
  <c r="D42" i="2" s="1"/>
  <c r="E42" i="2" s="1"/>
  <c r="C43" i="2"/>
  <c r="D43" i="2" s="1"/>
  <c r="C44" i="2"/>
  <c r="C45" i="2"/>
  <c r="D45" i="2" s="1"/>
  <c r="E45" i="2" s="1"/>
  <c r="C46" i="2"/>
  <c r="D46" i="2" s="1"/>
  <c r="E46" i="2" s="1"/>
  <c r="C47" i="2"/>
  <c r="D47" i="2" s="1"/>
  <c r="E47" i="2" s="1"/>
  <c r="C48" i="2"/>
  <c r="C49" i="2"/>
  <c r="D49" i="2" s="1"/>
  <c r="E49" i="2" s="1"/>
  <c r="C50" i="2"/>
  <c r="D50" i="2" s="1"/>
  <c r="E50" i="2" s="1"/>
  <c r="C51" i="2"/>
  <c r="D51" i="2" s="1"/>
  <c r="E51" i="2" s="1"/>
  <c r="C52" i="2"/>
  <c r="C53" i="2"/>
  <c r="D53" i="2" s="1"/>
  <c r="E53" i="2" s="1"/>
  <c r="C54" i="2"/>
  <c r="D54" i="2" s="1"/>
  <c r="E54" i="2" s="1"/>
  <c r="C55" i="2"/>
  <c r="D55" i="2" s="1"/>
  <c r="C56" i="2"/>
  <c r="C57" i="2"/>
  <c r="D57" i="2" s="1"/>
  <c r="E57" i="2" s="1"/>
  <c r="C58" i="2"/>
  <c r="D58" i="2" s="1"/>
  <c r="E58" i="2" s="1"/>
  <c r="C59" i="2"/>
  <c r="D59" i="2" s="1"/>
  <c r="C60" i="2"/>
  <c r="C61" i="2"/>
  <c r="D61" i="2" s="1"/>
  <c r="E61" i="2" s="1"/>
  <c r="C62" i="2"/>
  <c r="D62" i="2" s="1"/>
  <c r="E62" i="2" s="1"/>
  <c r="C63" i="2"/>
  <c r="D63" i="2" s="1"/>
  <c r="E63" i="2" s="1"/>
  <c r="C64" i="2"/>
  <c r="C65" i="2"/>
  <c r="D65" i="2" s="1"/>
  <c r="E65" i="2" s="1"/>
  <c r="C66" i="2"/>
  <c r="D66" i="2" s="1"/>
  <c r="E66" i="2" s="1"/>
  <c r="C67" i="2"/>
  <c r="D67" i="2" s="1"/>
  <c r="E67" i="2" s="1"/>
  <c r="C68" i="2"/>
  <c r="C69" i="2"/>
  <c r="D69" i="2" s="1"/>
  <c r="E69" i="2" s="1"/>
  <c r="C70" i="2"/>
  <c r="D70" i="2" s="1"/>
  <c r="E70" i="2" s="1"/>
  <c r="C71" i="2"/>
  <c r="D71" i="2" s="1"/>
  <c r="C72" i="2"/>
  <c r="C73" i="2"/>
  <c r="D73" i="2" s="1"/>
  <c r="E73" i="2" s="1"/>
  <c r="C74" i="2"/>
  <c r="D74" i="2" s="1"/>
  <c r="E74" i="2" s="1"/>
  <c r="C75" i="2"/>
  <c r="D75" i="2" s="1"/>
  <c r="C76" i="2"/>
  <c r="C77" i="2"/>
  <c r="D77" i="2" s="1"/>
  <c r="E77" i="2" s="1"/>
  <c r="C78" i="2"/>
  <c r="D78" i="2" s="1"/>
  <c r="E78" i="2" s="1"/>
  <c r="C79" i="2"/>
  <c r="D79" i="2" s="1"/>
  <c r="E79" i="2" s="1"/>
  <c r="C80" i="2"/>
  <c r="C81" i="2"/>
  <c r="D81" i="2" s="1"/>
  <c r="E81" i="2" s="1"/>
  <c r="C82" i="2"/>
  <c r="D82" i="2" s="1"/>
  <c r="E82" i="2" s="1"/>
  <c r="C83" i="2"/>
  <c r="D83" i="2" s="1"/>
  <c r="E83" i="2" s="1"/>
  <c r="C84" i="2"/>
  <c r="C85" i="2"/>
  <c r="D85" i="2" s="1"/>
  <c r="E85" i="2" s="1"/>
  <c r="C86" i="2"/>
  <c r="D86" i="2" s="1"/>
  <c r="E86" i="2" s="1"/>
  <c r="C87" i="2"/>
  <c r="D87" i="2" s="1"/>
  <c r="C88" i="2"/>
  <c r="C89" i="2"/>
  <c r="D89" i="2" s="1"/>
  <c r="E89" i="2" s="1"/>
  <c r="C90" i="2"/>
  <c r="D90" i="2" s="1"/>
  <c r="E90" i="2" s="1"/>
  <c r="C91" i="2"/>
  <c r="D91" i="2" s="1"/>
  <c r="C92" i="2"/>
  <c r="C93" i="2"/>
  <c r="D93" i="2" s="1"/>
  <c r="E93" i="2" s="1"/>
  <c r="C94" i="2"/>
  <c r="D94" i="2" s="1"/>
  <c r="E94" i="2" s="1"/>
  <c r="C95" i="2"/>
  <c r="D95" i="2" s="1"/>
  <c r="E95" i="2" s="1"/>
  <c r="C96" i="2"/>
  <c r="C97" i="2"/>
  <c r="D97" i="2" s="1"/>
  <c r="E97" i="2" s="1"/>
  <c r="C98" i="2"/>
  <c r="D98" i="2" s="1"/>
  <c r="E98" i="2" s="1"/>
  <c r="C99" i="2"/>
  <c r="D99" i="2" s="1"/>
  <c r="E99" i="2" s="1"/>
  <c r="C100" i="2"/>
  <c r="C101" i="2"/>
  <c r="D101" i="2" s="1"/>
  <c r="E101" i="2" s="1"/>
  <c r="C102" i="2"/>
  <c r="D102" i="2" s="1"/>
  <c r="E102" i="2" s="1"/>
  <c r="C103" i="2"/>
  <c r="D103" i="2" s="1"/>
  <c r="C104" i="2"/>
  <c r="C105" i="2"/>
  <c r="D105" i="2" s="1"/>
  <c r="E105" i="2" s="1"/>
  <c r="C106" i="2"/>
  <c r="D106" i="2" s="1"/>
  <c r="E106" i="2" s="1"/>
  <c r="C107" i="2"/>
  <c r="D107" i="2" s="1"/>
  <c r="C108" i="2"/>
  <c r="C109" i="2"/>
  <c r="D109" i="2" s="1"/>
  <c r="E109" i="2" s="1"/>
  <c r="C110" i="2"/>
  <c r="D110" i="2" s="1"/>
  <c r="E110" i="2" s="1"/>
  <c r="C111" i="2"/>
  <c r="D111" i="2" s="1"/>
  <c r="E111" i="2" s="1"/>
  <c r="C112" i="2"/>
  <c r="C113" i="2"/>
  <c r="D113" i="2" s="1"/>
  <c r="E113" i="2" s="1"/>
  <c r="C114" i="2"/>
  <c r="D114" i="2" s="1"/>
  <c r="E114" i="2" s="1"/>
  <c r="C115" i="2"/>
  <c r="D115" i="2" s="1"/>
  <c r="E115" i="2" s="1"/>
  <c r="C116" i="2"/>
  <c r="C117" i="2"/>
  <c r="D117" i="2" s="1"/>
  <c r="E117" i="2" s="1"/>
  <c r="C118" i="2"/>
  <c r="D118" i="2" s="1"/>
  <c r="E118" i="2" s="1"/>
  <c r="C119" i="2"/>
  <c r="D119" i="2" s="1"/>
  <c r="C120" i="2"/>
  <c r="C121" i="2"/>
  <c r="D121" i="2" s="1"/>
  <c r="E121" i="2" s="1"/>
  <c r="C122" i="2"/>
  <c r="D122" i="2" s="1"/>
  <c r="E122" i="2" s="1"/>
  <c r="C123" i="2"/>
  <c r="D123" i="2" s="1"/>
  <c r="C124" i="2"/>
  <c r="C125" i="2"/>
  <c r="D125" i="2" s="1"/>
  <c r="E125" i="2" s="1"/>
  <c r="C126" i="2"/>
  <c r="D126" i="2" s="1"/>
  <c r="E126" i="2" s="1"/>
  <c r="C127" i="2"/>
  <c r="D127" i="2" s="1"/>
  <c r="E127" i="2" s="1"/>
  <c r="C128" i="2"/>
  <c r="C129" i="2"/>
  <c r="D129" i="2" s="1"/>
  <c r="E129" i="2" s="1"/>
  <c r="C130" i="2"/>
  <c r="D130" i="2" s="1"/>
  <c r="E130" i="2" s="1"/>
  <c r="C131" i="2"/>
  <c r="D131" i="2" s="1"/>
  <c r="E131" i="2" s="1"/>
  <c r="C132" i="2"/>
  <c r="C133" i="2"/>
  <c r="D133" i="2" s="1"/>
  <c r="E133" i="2" s="1"/>
  <c r="C134" i="2"/>
  <c r="D134" i="2" s="1"/>
  <c r="E134" i="2" s="1"/>
  <c r="C135" i="2"/>
  <c r="D135" i="2" s="1"/>
  <c r="C136" i="2"/>
  <c r="C137" i="2"/>
  <c r="D137" i="2" s="1"/>
  <c r="E137" i="2" s="1"/>
  <c r="C138" i="2"/>
  <c r="D138" i="2" s="1"/>
  <c r="E138" i="2" s="1"/>
  <c r="C139" i="2"/>
  <c r="D139" i="2" s="1"/>
  <c r="C140" i="2"/>
  <c r="C141" i="2"/>
  <c r="D141" i="2" s="1"/>
  <c r="E141" i="2" s="1"/>
  <c r="C142" i="2"/>
  <c r="D142" i="2" s="1"/>
  <c r="E142" i="2" s="1"/>
  <c r="C143" i="2"/>
  <c r="D143" i="2" s="1"/>
  <c r="E143" i="2" s="1"/>
  <c r="C144" i="2"/>
  <c r="C145" i="2"/>
  <c r="D145" i="2" s="1"/>
  <c r="E145" i="2" s="1"/>
  <c r="C146" i="2"/>
  <c r="D146" i="2" s="1"/>
  <c r="E146" i="2" s="1"/>
  <c r="C147" i="2"/>
  <c r="D147" i="2" s="1"/>
  <c r="E147" i="2" s="1"/>
  <c r="C148" i="2"/>
  <c r="C149" i="2"/>
  <c r="D149" i="2" s="1"/>
  <c r="E149" i="2" s="1"/>
  <c r="C150" i="2"/>
  <c r="D150" i="2" s="1"/>
  <c r="E150" i="2" s="1"/>
  <c r="C151" i="2"/>
  <c r="D151" i="2" s="1"/>
  <c r="C152" i="2"/>
  <c r="C153" i="2"/>
  <c r="D153" i="2" s="1"/>
  <c r="E153" i="2" s="1"/>
  <c r="C154" i="2"/>
  <c r="D154" i="2" s="1"/>
  <c r="E154" i="2" s="1"/>
  <c r="C155" i="2"/>
  <c r="D155" i="2" s="1"/>
  <c r="C156" i="2"/>
  <c r="C157" i="2"/>
  <c r="D157" i="2" s="1"/>
  <c r="E157" i="2" s="1"/>
  <c r="C158" i="2"/>
  <c r="D158" i="2" s="1"/>
  <c r="E158" i="2" s="1"/>
  <c r="C159" i="2"/>
  <c r="D159" i="2" s="1"/>
  <c r="E159" i="2" s="1"/>
  <c r="C160" i="2"/>
  <c r="C161" i="2"/>
  <c r="D161" i="2" s="1"/>
  <c r="E161" i="2" s="1"/>
  <c r="C162" i="2"/>
  <c r="D162" i="2" s="1"/>
  <c r="E162" i="2" s="1"/>
  <c r="C163" i="2"/>
  <c r="D163" i="2" s="1"/>
  <c r="E163" i="2" s="1"/>
  <c r="C164" i="2"/>
  <c r="C165" i="2"/>
  <c r="D165" i="2" s="1"/>
  <c r="E165" i="2" s="1"/>
  <c r="C166" i="2"/>
  <c r="D166" i="2" s="1"/>
  <c r="E166" i="2" s="1"/>
  <c r="C167" i="2"/>
  <c r="D167" i="2" s="1"/>
  <c r="C168" i="2"/>
  <c r="C169" i="2"/>
  <c r="D169" i="2" s="1"/>
  <c r="E169" i="2" s="1"/>
  <c r="C170" i="2"/>
  <c r="D170" i="2" s="1"/>
  <c r="E170" i="2" s="1"/>
  <c r="C171" i="2"/>
  <c r="D171" i="2" s="1"/>
  <c r="C172" i="2"/>
  <c r="C173" i="2"/>
  <c r="D173" i="2" s="1"/>
  <c r="E173" i="2" s="1"/>
  <c r="C174" i="2"/>
  <c r="D174" i="2" s="1"/>
  <c r="E174" i="2" s="1"/>
  <c r="C175" i="2"/>
  <c r="D175" i="2" s="1"/>
  <c r="E175" i="2" s="1"/>
  <c r="C176" i="2"/>
  <c r="C177" i="2"/>
  <c r="D177" i="2" s="1"/>
  <c r="E177" i="2" s="1"/>
  <c r="C178" i="2"/>
  <c r="D178" i="2" s="1"/>
  <c r="E178" i="2" s="1"/>
  <c r="C179" i="2"/>
  <c r="D179" i="2" s="1"/>
  <c r="E179" i="2" s="1"/>
  <c r="C180" i="2"/>
  <c r="C181" i="2"/>
  <c r="D181" i="2" s="1"/>
  <c r="E181" i="2" s="1"/>
  <c r="C182" i="2"/>
  <c r="D182" i="2" s="1"/>
  <c r="E182" i="2" s="1"/>
  <c r="C183" i="2"/>
  <c r="D183" i="2" s="1"/>
  <c r="C184" i="2"/>
  <c r="C185" i="2"/>
  <c r="D185" i="2" s="1"/>
  <c r="E185" i="2" s="1"/>
  <c r="C186" i="2"/>
  <c r="D186" i="2" s="1"/>
  <c r="E186" i="2" s="1"/>
  <c r="C187" i="2"/>
  <c r="D187" i="2" s="1"/>
  <c r="C188" i="2"/>
  <c r="C189" i="2"/>
  <c r="D189" i="2" s="1"/>
  <c r="E189" i="2" s="1"/>
  <c r="C190" i="2"/>
  <c r="D190" i="2" s="1"/>
  <c r="E190" i="2" s="1"/>
  <c r="C191" i="2"/>
  <c r="D191" i="2" s="1"/>
  <c r="E191" i="2" s="1"/>
  <c r="C192" i="2"/>
  <c r="C193" i="2"/>
  <c r="D193" i="2" s="1"/>
  <c r="E193" i="2" s="1"/>
  <c r="C194" i="2"/>
  <c r="D194" i="2" s="1"/>
  <c r="E194" i="2" s="1"/>
  <c r="C195" i="2"/>
  <c r="D195" i="2" s="1"/>
  <c r="E195" i="2" s="1"/>
  <c r="C196" i="2"/>
  <c r="C197" i="2"/>
  <c r="D197" i="2" s="1"/>
  <c r="E197" i="2" s="1"/>
  <c r="C198" i="2"/>
  <c r="D198" i="2" s="1"/>
  <c r="E198" i="2" s="1"/>
  <c r="C199" i="2"/>
  <c r="D199" i="2" s="1"/>
  <c r="C200" i="2"/>
  <c r="C201" i="2"/>
  <c r="D201" i="2" s="1"/>
  <c r="E201" i="2" s="1"/>
  <c r="C202" i="2"/>
  <c r="D202" i="2" s="1"/>
  <c r="E202" i="2" s="1"/>
  <c r="C203" i="2"/>
  <c r="D203" i="2" s="1"/>
  <c r="C204" i="2"/>
  <c r="C205" i="2"/>
  <c r="D205" i="2" s="1"/>
  <c r="E205" i="2" s="1"/>
  <c r="C206" i="2"/>
  <c r="D206" i="2" s="1"/>
  <c r="E206" i="2" s="1"/>
  <c r="C207" i="2"/>
  <c r="D207" i="2" s="1"/>
  <c r="E207" i="2" s="1"/>
  <c r="C208" i="2"/>
  <c r="C209" i="2"/>
  <c r="D209" i="2" s="1"/>
  <c r="E209" i="2" s="1"/>
  <c r="C210" i="2"/>
  <c r="D210" i="2" s="1"/>
  <c r="E210" i="2" s="1"/>
  <c r="C211" i="2"/>
  <c r="D211" i="2" s="1"/>
  <c r="E211" i="2" s="1"/>
  <c r="C212" i="2"/>
  <c r="C213" i="2"/>
  <c r="D213" i="2" s="1"/>
  <c r="E213" i="2" s="1"/>
  <c r="C214" i="2"/>
  <c r="D214" i="2" s="1"/>
  <c r="E214" i="2" s="1"/>
  <c r="C215" i="2"/>
  <c r="D215" i="2" s="1"/>
  <c r="C216" i="2"/>
  <c r="C217" i="2"/>
  <c r="D217" i="2" s="1"/>
  <c r="E217" i="2" s="1"/>
  <c r="C218" i="2"/>
  <c r="D218" i="2" s="1"/>
  <c r="E218" i="2" s="1"/>
  <c r="C219" i="2"/>
  <c r="D219" i="2" s="1"/>
  <c r="C220" i="2"/>
  <c r="C221" i="2"/>
  <c r="D221" i="2" s="1"/>
  <c r="E221" i="2" s="1"/>
  <c r="C222" i="2"/>
  <c r="D222" i="2" s="1"/>
  <c r="E222" i="2" s="1"/>
  <c r="C223" i="2"/>
  <c r="D223" i="2" s="1"/>
  <c r="E223" i="2" s="1"/>
  <c r="C224" i="2"/>
  <c r="C225" i="2"/>
  <c r="D225" i="2" s="1"/>
  <c r="E225" i="2" s="1"/>
  <c r="C226" i="2"/>
  <c r="D226" i="2" s="1"/>
  <c r="E226" i="2" s="1"/>
  <c r="C227" i="2"/>
  <c r="D227" i="2" s="1"/>
  <c r="E227" i="2" s="1"/>
  <c r="C228" i="2"/>
  <c r="C229" i="2"/>
  <c r="D229" i="2" s="1"/>
  <c r="E229" i="2" s="1"/>
  <c r="C230" i="2"/>
  <c r="D230" i="2" s="1"/>
  <c r="E230" i="2" s="1"/>
  <c r="C231" i="2"/>
  <c r="D231" i="2" s="1"/>
  <c r="C232" i="2"/>
  <c r="C233" i="2"/>
  <c r="D233" i="2" s="1"/>
  <c r="E233" i="2" s="1"/>
  <c r="C234" i="2"/>
  <c r="D234" i="2" s="1"/>
  <c r="E234" i="2" s="1"/>
  <c r="C235" i="2"/>
  <c r="D235" i="2" s="1"/>
  <c r="C236" i="2"/>
  <c r="C237" i="2"/>
  <c r="D237" i="2" s="1"/>
  <c r="E237" i="2" s="1"/>
  <c r="C238" i="2"/>
  <c r="D238" i="2" s="1"/>
  <c r="E238" i="2" s="1"/>
  <c r="C239" i="2"/>
  <c r="D239" i="2" s="1"/>
  <c r="E239" i="2" s="1"/>
  <c r="C240" i="2"/>
  <c r="C241" i="2"/>
  <c r="D241" i="2" s="1"/>
  <c r="E241" i="2" s="1"/>
  <c r="C242" i="2"/>
  <c r="D242" i="2" s="1"/>
  <c r="E242" i="2" s="1"/>
  <c r="C243" i="2"/>
  <c r="D243" i="2" s="1"/>
  <c r="E243" i="2" s="1"/>
  <c r="C244" i="2"/>
  <c r="C245" i="2"/>
  <c r="D245" i="2" s="1"/>
  <c r="E245" i="2" s="1"/>
  <c r="C246" i="2"/>
  <c r="D246" i="2" s="1"/>
  <c r="E246" i="2" s="1"/>
  <c r="C247" i="2"/>
  <c r="D247" i="2" s="1"/>
  <c r="C248" i="2"/>
  <c r="C249" i="2"/>
  <c r="D249" i="2" s="1"/>
  <c r="E249" i="2" s="1"/>
  <c r="C250" i="2"/>
  <c r="D250" i="2" s="1"/>
  <c r="E250" i="2" s="1"/>
  <c r="C251" i="2"/>
  <c r="D251" i="2" s="1"/>
  <c r="C252" i="2"/>
  <c r="C253" i="2"/>
  <c r="D253" i="2" s="1"/>
  <c r="E253" i="2" s="1"/>
  <c r="C254" i="2"/>
  <c r="D254" i="2" s="1"/>
  <c r="E254" i="2" s="1"/>
  <c r="C255" i="2"/>
  <c r="D255" i="2" s="1"/>
  <c r="E255" i="2" s="1"/>
  <c r="C256" i="2"/>
  <c r="C257" i="2"/>
  <c r="D257" i="2" s="1"/>
  <c r="E257" i="2" s="1"/>
  <c r="C258" i="2"/>
  <c r="D258" i="2" s="1"/>
  <c r="E258" i="2" s="1"/>
  <c r="C259" i="2"/>
  <c r="D259" i="2" s="1"/>
  <c r="E259" i="2" s="1"/>
  <c r="C260" i="2"/>
  <c r="C261" i="2"/>
  <c r="D261" i="2" s="1"/>
  <c r="E261" i="2" s="1"/>
  <c r="C262" i="2"/>
  <c r="D262" i="2" s="1"/>
  <c r="E262" i="2" s="1"/>
  <c r="C263" i="2"/>
  <c r="D263" i="2" s="1"/>
  <c r="C264" i="2"/>
  <c r="C265" i="2"/>
  <c r="D265" i="2" s="1"/>
  <c r="E265" i="2" s="1"/>
  <c r="C266" i="2"/>
  <c r="D266" i="2" s="1"/>
  <c r="E266" i="2" s="1"/>
  <c r="C267" i="2"/>
  <c r="D267" i="2" s="1"/>
  <c r="C268" i="2"/>
  <c r="C269" i="2"/>
  <c r="D269" i="2" s="1"/>
  <c r="E269" i="2" s="1"/>
  <c r="C270" i="2"/>
  <c r="D270" i="2" s="1"/>
  <c r="E270" i="2" s="1"/>
  <c r="C271" i="2"/>
  <c r="D271" i="2" s="1"/>
  <c r="E271" i="2" s="1"/>
  <c r="C272" i="2"/>
  <c r="C273" i="2"/>
  <c r="D273" i="2" s="1"/>
  <c r="E273" i="2" s="1"/>
  <c r="C274" i="2"/>
  <c r="D274" i="2" s="1"/>
  <c r="E274" i="2" s="1"/>
  <c r="C275" i="2"/>
  <c r="D275" i="2" s="1"/>
  <c r="E275" i="2" s="1"/>
  <c r="C276" i="2"/>
  <c r="C277" i="2"/>
  <c r="D277" i="2" s="1"/>
  <c r="E277" i="2" s="1"/>
  <c r="C278" i="2"/>
  <c r="D278" i="2" s="1"/>
  <c r="E278" i="2" s="1"/>
  <c r="G278" i="2" s="1"/>
  <c r="C279" i="2"/>
  <c r="D279" i="2" s="1"/>
  <c r="C280" i="2"/>
  <c r="C281" i="2"/>
  <c r="D281" i="2" s="1"/>
  <c r="E281" i="2" s="1"/>
  <c r="C282" i="2"/>
  <c r="D282" i="2" s="1"/>
  <c r="E282" i="2" s="1"/>
  <c r="C283" i="2"/>
  <c r="D283" i="2" s="1"/>
  <c r="C284" i="2"/>
  <c r="C285" i="2"/>
  <c r="D285" i="2" s="1"/>
  <c r="E285" i="2" s="1"/>
  <c r="C286" i="2"/>
  <c r="D286" i="2" s="1"/>
  <c r="E286" i="2" s="1"/>
  <c r="C287" i="2"/>
  <c r="D287" i="2" s="1"/>
  <c r="E287" i="2" s="1"/>
  <c r="C288" i="2"/>
  <c r="C289" i="2"/>
  <c r="D289" i="2" s="1"/>
  <c r="E289" i="2" s="1"/>
  <c r="C290" i="2"/>
  <c r="D290" i="2" s="1"/>
  <c r="E290" i="2" s="1"/>
  <c r="C291" i="2"/>
  <c r="D291" i="2" s="1"/>
  <c r="E291" i="2" s="1"/>
  <c r="C292" i="2"/>
  <c r="C293" i="2"/>
  <c r="D293" i="2" s="1"/>
  <c r="E293" i="2" s="1"/>
  <c r="C294" i="2"/>
  <c r="D294" i="2" s="1"/>
  <c r="E294" i="2" s="1"/>
  <c r="G294" i="2" s="1"/>
  <c r="C295" i="2"/>
  <c r="D295" i="2" s="1"/>
  <c r="C296" i="2"/>
  <c r="C297" i="2"/>
  <c r="D297" i="2" s="1"/>
  <c r="E297" i="2" s="1"/>
  <c r="C298" i="2"/>
  <c r="D298" i="2" s="1"/>
  <c r="E298" i="2" s="1"/>
  <c r="C299" i="2"/>
  <c r="D299" i="2" s="1"/>
  <c r="C300" i="2"/>
  <c r="C301" i="2"/>
  <c r="D301" i="2" s="1"/>
  <c r="E301" i="2" s="1"/>
  <c r="C302" i="2"/>
  <c r="D302" i="2" s="1"/>
  <c r="E302" i="2" s="1"/>
  <c r="C303" i="2"/>
  <c r="D303" i="2" s="1"/>
  <c r="E303" i="2" s="1"/>
  <c r="C304" i="2"/>
  <c r="C305" i="2"/>
  <c r="D305" i="2" s="1"/>
  <c r="E305" i="2" s="1"/>
  <c r="C306" i="2"/>
  <c r="D306" i="2" s="1"/>
  <c r="E306" i="2" s="1"/>
  <c r="C307" i="2"/>
  <c r="D307" i="2" s="1"/>
  <c r="E307" i="2" s="1"/>
  <c r="C308" i="2"/>
  <c r="C309" i="2"/>
  <c r="D309" i="2" s="1"/>
  <c r="E309" i="2" s="1"/>
  <c r="C310" i="2"/>
  <c r="D310" i="2" s="1"/>
  <c r="E310" i="2" s="1"/>
  <c r="G310" i="2" s="1"/>
  <c r="C311" i="2"/>
  <c r="D311" i="2" s="1"/>
  <c r="C312" i="2"/>
  <c r="C313" i="2"/>
  <c r="D313" i="2" s="1"/>
  <c r="E313" i="2" s="1"/>
  <c r="C314" i="2"/>
  <c r="D314" i="2" s="1"/>
  <c r="E314" i="2" s="1"/>
  <c r="G314" i="2" s="1"/>
  <c r="C315" i="2"/>
  <c r="D315" i="2" s="1"/>
  <c r="C316" i="2"/>
  <c r="C317" i="2"/>
  <c r="D317" i="2" s="1"/>
  <c r="E317" i="2" s="1"/>
  <c r="C318" i="2"/>
  <c r="D318" i="2" s="1"/>
  <c r="E318" i="2" s="1"/>
  <c r="G318" i="2" s="1"/>
  <c r="C319" i="2"/>
  <c r="D319" i="2" s="1"/>
  <c r="E319" i="2" s="1"/>
  <c r="C320" i="2"/>
  <c r="C321" i="2"/>
  <c r="D321" i="2" s="1"/>
  <c r="E321" i="2" s="1"/>
  <c r="C322" i="2"/>
  <c r="D322" i="2" s="1"/>
  <c r="E322" i="2" s="1"/>
  <c r="G322" i="2" s="1"/>
  <c r="C323" i="2"/>
  <c r="D323" i="2" s="1"/>
  <c r="E323" i="2" s="1"/>
  <c r="C324" i="2"/>
  <c r="C325" i="2"/>
  <c r="D325" i="2" s="1"/>
  <c r="E325" i="2" s="1"/>
  <c r="C326" i="2"/>
  <c r="D326" i="2" s="1"/>
  <c r="E326" i="2" s="1"/>
  <c r="G326" i="2" s="1"/>
  <c r="C327" i="2"/>
  <c r="D327" i="2" s="1"/>
  <c r="C328" i="2"/>
  <c r="C329" i="2"/>
  <c r="D329" i="2" s="1"/>
  <c r="E329" i="2" s="1"/>
  <c r="C330" i="2"/>
  <c r="D330" i="2" s="1"/>
  <c r="E330" i="2" s="1"/>
  <c r="G330" i="2" s="1"/>
  <c r="C331" i="2"/>
  <c r="D331" i="2" s="1"/>
  <c r="C332" i="2"/>
  <c r="C333" i="2"/>
  <c r="D333" i="2" s="1"/>
  <c r="E333" i="2" s="1"/>
  <c r="C334" i="2"/>
  <c r="D334" i="2" s="1"/>
  <c r="E334" i="2" s="1"/>
  <c r="G334" i="2" s="1"/>
  <c r="C335" i="2"/>
  <c r="D335" i="2" s="1"/>
  <c r="E335" i="2" s="1"/>
  <c r="C336" i="2"/>
  <c r="C337" i="2"/>
  <c r="D337" i="2" s="1"/>
  <c r="E337" i="2" s="1"/>
  <c r="C338" i="2"/>
  <c r="D338" i="2" s="1"/>
  <c r="E338" i="2" s="1"/>
  <c r="G338" i="2" s="1"/>
  <c r="C339" i="2"/>
  <c r="D339" i="2" s="1"/>
  <c r="E339" i="2" s="1"/>
  <c r="C340" i="2"/>
  <c r="C341" i="2"/>
  <c r="D341" i="2" s="1"/>
  <c r="E341" i="2" s="1"/>
  <c r="C342" i="2"/>
  <c r="D342" i="2" s="1"/>
  <c r="E342" i="2" s="1"/>
  <c r="G342" i="2" s="1"/>
  <c r="C343" i="2"/>
  <c r="D343" i="2" s="1"/>
  <c r="C344" i="2"/>
  <c r="C345" i="2"/>
  <c r="D345" i="2" s="1"/>
  <c r="E345" i="2" s="1"/>
  <c r="C346" i="2"/>
  <c r="D346" i="2" s="1"/>
  <c r="E346" i="2" s="1"/>
  <c r="G346" i="2" s="1"/>
  <c r="C347" i="2"/>
  <c r="D347" i="2" s="1"/>
  <c r="C348" i="2"/>
  <c r="C349" i="2"/>
  <c r="D349" i="2" s="1"/>
  <c r="E349" i="2" s="1"/>
  <c r="C350" i="2"/>
  <c r="D350" i="2" s="1"/>
  <c r="E350" i="2" s="1"/>
  <c r="G350" i="2" s="1"/>
  <c r="C351" i="2"/>
  <c r="D351" i="2" s="1"/>
  <c r="E351" i="2" s="1"/>
  <c r="C352" i="2"/>
  <c r="C353" i="2"/>
  <c r="D353" i="2" s="1"/>
  <c r="E353" i="2" s="1"/>
  <c r="C354" i="2"/>
  <c r="D354" i="2" s="1"/>
  <c r="E354" i="2" s="1"/>
  <c r="G354" i="2" s="1"/>
  <c r="C355" i="2"/>
  <c r="D355" i="2" s="1"/>
  <c r="E355" i="2" s="1"/>
  <c r="C356" i="2"/>
  <c r="C357" i="2"/>
  <c r="D357" i="2" s="1"/>
  <c r="E357" i="2" s="1"/>
  <c r="C358" i="2"/>
  <c r="D358" i="2" s="1"/>
  <c r="E358" i="2" s="1"/>
  <c r="G358" i="2" s="1"/>
  <c r="C359" i="2"/>
  <c r="D359" i="2" s="1"/>
  <c r="C360" i="2"/>
  <c r="C361" i="2"/>
  <c r="D361" i="2" s="1"/>
  <c r="E361" i="2" s="1"/>
  <c r="C362" i="2"/>
  <c r="D362" i="2" s="1"/>
  <c r="E362" i="2" s="1"/>
  <c r="G362" i="2" s="1"/>
  <c r="C363" i="2"/>
  <c r="D363" i="2" s="1"/>
  <c r="C364" i="2"/>
  <c r="C365" i="2"/>
  <c r="D365" i="2" s="1"/>
  <c r="E365" i="2" s="1"/>
  <c r="C366" i="2"/>
  <c r="D366" i="2" s="1"/>
  <c r="E366" i="2" s="1"/>
  <c r="G366" i="2" s="1"/>
  <c r="C4" i="2"/>
  <c r="D4" i="2" s="1"/>
  <c r="E4" i="2" s="1"/>
  <c r="F351" i="2" l="1"/>
  <c r="G351" i="2"/>
  <c r="F339" i="2"/>
  <c r="G339" i="2"/>
  <c r="F323" i="2"/>
  <c r="G323" i="2"/>
  <c r="G307" i="2"/>
  <c r="F307" i="2"/>
  <c r="G291" i="2"/>
  <c r="F291" i="2"/>
  <c r="F271" i="2"/>
  <c r="G271" i="2"/>
  <c r="F255" i="2"/>
  <c r="G255" i="2"/>
  <c r="F239" i="2"/>
  <c r="G239" i="2"/>
  <c r="F223" i="2"/>
  <c r="G223" i="2"/>
  <c r="F207" i="2"/>
  <c r="G207" i="2"/>
  <c r="G195" i="2"/>
  <c r="F195" i="2"/>
  <c r="F175" i="2"/>
  <c r="G175" i="2"/>
  <c r="G163" i="2"/>
  <c r="F163" i="2"/>
  <c r="G147" i="2"/>
  <c r="F147" i="2"/>
  <c r="F143" i="2"/>
  <c r="G143" i="2"/>
  <c r="G131" i="2"/>
  <c r="F131" i="2"/>
  <c r="F127" i="2"/>
  <c r="G127" i="2"/>
  <c r="G115" i="2"/>
  <c r="F115" i="2"/>
  <c r="F111" i="2"/>
  <c r="G111" i="2"/>
  <c r="F95" i="2"/>
  <c r="G95" i="2"/>
  <c r="G83" i="2"/>
  <c r="F83" i="2"/>
  <c r="F79" i="2"/>
  <c r="G79" i="2"/>
  <c r="G67" i="2"/>
  <c r="F67" i="2"/>
  <c r="F63" i="2"/>
  <c r="G63" i="2"/>
  <c r="G51" i="2"/>
  <c r="F51" i="2"/>
  <c r="F47" i="2"/>
  <c r="G47" i="2"/>
  <c r="G35" i="2"/>
  <c r="F35" i="2"/>
  <c r="F31" i="2"/>
  <c r="G31" i="2"/>
  <c r="G19" i="2"/>
  <c r="F19" i="2"/>
  <c r="F15" i="2"/>
  <c r="G15" i="2"/>
  <c r="K8" i="2"/>
  <c r="F4" i="2"/>
  <c r="G4" i="2"/>
  <c r="F355" i="2"/>
  <c r="G355" i="2"/>
  <c r="F335" i="2"/>
  <c r="G335" i="2"/>
  <c r="F319" i="2"/>
  <c r="G319" i="2"/>
  <c r="F303" i="2"/>
  <c r="G303" i="2"/>
  <c r="F287" i="2"/>
  <c r="G287" i="2"/>
  <c r="G275" i="2"/>
  <c r="F275" i="2"/>
  <c r="G259" i="2"/>
  <c r="F259" i="2"/>
  <c r="G243" i="2"/>
  <c r="F243" i="2"/>
  <c r="G227" i="2"/>
  <c r="F227" i="2"/>
  <c r="G211" i="2"/>
  <c r="F211" i="2"/>
  <c r="F191" i="2"/>
  <c r="G191" i="2"/>
  <c r="G179" i="2"/>
  <c r="F179" i="2"/>
  <c r="F159" i="2"/>
  <c r="G159" i="2"/>
  <c r="G99" i="2"/>
  <c r="F99" i="2"/>
  <c r="G361" i="2"/>
  <c r="F361" i="2"/>
  <c r="G353" i="2"/>
  <c r="F353" i="2"/>
  <c r="G345" i="2"/>
  <c r="F345" i="2"/>
  <c r="G337" i="2"/>
  <c r="F337" i="2"/>
  <c r="G329" i="2"/>
  <c r="F329" i="2"/>
  <c r="G321" i="2"/>
  <c r="F321" i="2"/>
  <c r="G313" i="2"/>
  <c r="F313" i="2"/>
  <c r="F305" i="2"/>
  <c r="G305" i="2"/>
  <c r="F297" i="2"/>
  <c r="G297" i="2"/>
  <c r="F289" i="2"/>
  <c r="G289" i="2"/>
  <c r="F281" i="2"/>
  <c r="G281" i="2"/>
  <c r="F273" i="2"/>
  <c r="G273" i="2"/>
  <c r="F265" i="2"/>
  <c r="G265" i="2"/>
  <c r="F257" i="2"/>
  <c r="G257" i="2"/>
  <c r="F249" i="2"/>
  <c r="G249" i="2"/>
  <c r="F241" i="2"/>
  <c r="G241" i="2"/>
  <c r="F233" i="2"/>
  <c r="G233" i="2"/>
  <c r="F225" i="2"/>
  <c r="G225" i="2"/>
  <c r="F217" i="2"/>
  <c r="G217" i="2"/>
  <c r="F209" i="2"/>
  <c r="G209" i="2"/>
  <c r="F201" i="2"/>
  <c r="G201" i="2"/>
  <c r="F193" i="2"/>
  <c r="G193" i="2"/>
  <c r="F185" i="2"/>
  <c r="G185" i="2"/>
  <c r="F177" i="2"/>
  <c r="G177" i="2"/>
  <c r="F169" i="2"/>
  <c r="G169" i="2"/>
  <c r="F161" i="2"/>
  <c r="G161" i="2"/>
  <c r="F153" i="2"/>
  <c r="G153" i="2"/>
  <c r="F145" i="2"/>
  <c r="G145" i="2"/>
  <c r="F137" i="2"/>
  <c r="G137" i="2"/>
  <c r="F129" i="2"/>
  <c r="G129" i="2"/>
  <c r="F121" i="2"/>
  <c r="G121" i="2"/>
  <c r="F113" i="2"/>
  <c r="G113" i="2"/>
  <c r="F105" i="2"/>
  <c r="G105" i="2"/>
  <c r="F97" i="2"/>
  <c r="G97" i="2"/>
  <c r="F89" i="2"/>
  <c r="G89" i="2"/>
  <c r="F81" i="2"/>
  <c r="G81" i="2"/>
  <c r="F73" i="2"/>
  <c r="G73" i="2"/>
  <c r="F65" i="2"/>
  <c r="G65" i="2"/>
  <c r="F57" i="2"/>
  <c r="G57" i="2"/>
  <c r="F49" i="2"/>
  <c r="G49" i="2"/>
  <c r="F41" i="2"/>
  <c r="G41" i="2"/>
  <c r="F33" i="2"/>
  <c r="G33" i="2"/>
  <c r="F25" i="2"/>
  <c r="G25" i="2"/>
  <c r="F17" i="2"/>
  <c r="G17" i="2"/>
  <c r="F9" i="2"/>
  <c r="G9" i="2"/>
  <c r="G352" i="2"/>
  <c r="F352" i="2"/>
  <c r="G240" i="2"/>
  <c r="F240" i="2"/>
  <c r="G208" i="2"/>
  <c r="F208" i="2"/>
  <c r="G176" i="2"/>
  <c r="F176" i="2"/>
  <c r="G144" i="2"/>
  <c r="F144" i="2"/>
  <c r="G112" i="2"/>
  <c r="F112" i="2"/>
  <c r="G80" i="2"/>
  <c r="F80" i="2"/>
  <c r="G48" i="2"/>
  <c r="F48" i="2"/>
  <c r="G16" i="2"/>
  <c r="F16" i="2"/>
  <c r="F347" i="2"/>
  <c r="G347" i="2"/>
  <c r="G235" i="2"/>
  <c r="F235" i="2"/>
  <c r="G203" i="2"/>
  <c r="F203" i="2"/>
  <c r="G171" i="2"/>
  <c r="F171" i="2"/>
  <c r="G139" i="2"/>
  <c r="F139" i="2"/>
  <c r="G107" i="2"/>
  <c r="F107" i="2"/>
  <c r="G75" i="2"/>
  <c r="F75" i="2"/>
  <c r="G43" i="2"/>
  <c r="F43" i="2"/>
  <c r="G11" i="2"/>
  <c r="F11" i="2"/>
  <c r="F267" i="2"/>
  <c r="G364" i="2"/>
  <c r="F364" i="2"/>
  <c r="G332" i="2"/>
  <c r="F332" i="2"/>
  <c r="G300" i="2"/>
  <c r="F300" i="2"/>
  <c r="G268" i="2"/>
  <c r="F268" i="2"/>
  <c r="F283" i="2"/>
  <c r="K7" i="4"/>
  <c r="G360" i="2"/>
  <c r="F360" i="2"/>
  <c r="G344" i="2"/>
  <c r="F344" i="2"/>
  <c r="G328" i="2"/>
  <c r="F328" i="2"/>
  <c r="G312" i="2"/>
  <c r="F312" i="2"/>
  <c r="G296" i="2"/>
  <c r="F296" i="2"/>
  <c r="G280" i="2"/>
  <c r="F280" i="2"/>
  <c r="G264" i="2"/>
  <c r="F264" i="2"/>
  <c r="G248" i="2"/>
  <c r="F248" i="2"/>
  <c r="G232" i="2"/>
  <c r="F232" i="2"/>
  <c r="G216" i="2"/>
  <c r="F216" i="2"/>
  <c r="G200" i="2"/>
  <c r="F200" i="2"/>
  <c r="G184" i="2"/>
  <c r="F184" i="2"/>
  <c r="G168" i="2"/>
  <c r="F168" i="2"/>
  <c r="G152" i="2"/>
  <c r="F152" i="2"/>
  <c r="G136" i="2"/>
  <c r="F136" i="2"/>
  <c r="G120" i="2"/>
  <c r="F120" i="2"/>
  <c r="G104" i="2"/>
  <c r="F104" i="2"/>
  <c r="G88" i="2"/>
  <c r="F88" i="2"/>
  <c r="G72" i="2"/>
  <c r="F72" i="2"/>
  <c r="G56" i="2"/>
  <c r="F56" i="2"/>
  <c r="G40" i="2"/>
  <c r="F40" i="2"/>
  <c r="G24" i="2"/>
  <c r="F24" i="2"/>
  <c r="G8" i="2"/>
  <c r="F8" i="2"/>
  <c r="F366" i="2"/>
  <c r="F350" i="2"/>
  <c r="F334" i="2"/>
  <c r="F318" i="2"/>
  <c r="F299" i="2"/>
  <c r="F278" i="2"/>
  <c r="F252" i="2"/>
  <c r="F220" i="2"/>
  <c r="F188" i="2"/>
  <c r="F156" i="2"/>
  <c r="F124" i="2"/>
  <c r="F92" i="2"/>
  <c r="F60" i="2"/>
  <c r="F28" i="2"/>
  <c r="G359" i="2"/>
  <c r="G327" i="2"/>
  <c r="G295" i="2"/>
  <c r="G263" i="2"/>
  <c r="G231" i="2"/>
  <c r="G199" i="2"/>
  <c r="G167" i="2"/>
  <c r="G135" i="2"/>
  <c r="G103" i="2"/>
  <c r="G71" i="2"/>
  <c r="G39" i="2"/>
  <c r="G7" i="2"/>
  <c r="G365" i="2"/>
  <c r="F365" i="2"/>
  <c r="G357" i="2"/>
  <c r="F357" i="2"/>
  <c r="G349" i="2"/>
  <c r="F349" i="2"/>
  <c r="G341" i="2"/>
  <c r="F341" i="2"/>
  <c r="G333" i="2"/>
  <c r="F333" i="2"/>
  <c r="G325" i="2"/>
  <c r="F325" i="2"/>
  <c r="G317" i="2"/>
  <c r="F317" i="2"/>
  <c r="F309" i="2"/>
  <c r="G309" i="2"/>
  <c r="F301" i="2"/>
  <c r="G301" i="2"/>
  <c r="F293" i="2"/>
  <c r="G293" i="2"/>
  <c r="F285" i="2"/>
  <c r="G285" i="2"/>
  <c r="F277" i="2"/>
  <c r="G277" i="2"/>
  <c r="F269" i="2"/>
  <c r="G269" i="2"/>
  <c r="F261" i="2"/>
  <c r="G261" i="2"/>
  <c r="F253" i="2"/>
  <c r="G253" i="2"/>
  <c r="F245" i="2"/>
  <c r="G245" i="2"/>
  <c r="F237" i="2"/>
  <c r="G237" i="2"/>
  <c r="F229" i="2"/>
  <c r="G229" i="2"/>
  <c r="F221" i="2"/>
  <c r="G221" i="2"/>
  <c r="F213" i="2"/>
  <c r="G213" i="2"/>
  <c r="F205" i="2"/>
  <c r="G205" i="2"/>
  <c r="F197" i="2"/>
  <c r="G197" i="2"/>
  <c r="F189" i="2"/>
  <c r="G189" i="2"/>
  <c r="F181" i="2"/>
  <c r="G181" i="2"/>
  <c r="F173" i="2"/>
  <c r="G173" i="2"/>
  <c r="F165" i="2"/>
  <c r="G165" i="2"/>
  <c r="F157" i="2"/>
  <c r="G157" i="2"/>
  <c r="F149" i="2"/>
  <c r="G149" i="2"/>
  <c r="F141" i="2"/>
  <c r="G141" i="2"/>
  <c r="F133" i="2"/>
  <c r="G133" i="2"/>
  <c r="F125" i="2"/>
  <c r="G125" i="2"/>
  <c r="F117" i="2"/>
  <c r="G117" i="2"/>
  <c r="F109" i="2"/>
  <c r="G109" i="2"/>
  <c r="F101" i="2"/>
  <c r="G101" i="2"/>
  <c r="F93" i="2"/>
  <c r="G93" i="2"/>
  <c r="F85" i="2"/>
  <c r="G85" i="2"/>
  <c r="F77" i="2"/>
  <c r="G77" i="2"/>
  <c r="F69" i="2"/>
  <c r="G69" i="2"/>
  <c r="F61" i="2"/>
  <c r="G61" i="2"/>
  <c r="F53" i="2"/>
  <c r="G53" i="2"/>
  <c r="F45" i="2"/>
  <c r="G45" i="2"/>
  <c r="F37" i="2"/>
  <c r="G37" i="2"/>
  <c r="F29" i="2"/>
  <c r="G29" i="2"/>
  <c r="F21" i="2"/>
  <c r="G21" i="2"/>
  <c r="F13" i="2"/>
  <c r="G13" i="2"/>
  <c r="F6" i="2"/>
  <c r="G6" i="2"/>
  <c r="G336" i="2"/>
  <c r="F336" i="2"/>
  <c r="G320" i="2"/>
  <c r="F320" i="2"/>
  <c r="G256" i="2"/>
  <c r="F256" i="2"/>
  <c r="G224" i="2"/>
  <c r="F224" i="2"/>
  <c r="G192" i="2"/>
  <c r="F192" i="2"/>
  <c r="G160" i="2"/>
  <c r="F160" i="2"/>
  <c r="G128" i="2"/>
  <c r="F128" i="2"/>
  <c r="G96" i="2"/>
  <c r="F96" i="2"/>
  <c r="G64" i="2"/>
  <c r="F64" i="2"/>
  <c r="G32" i="2"/>
  <c r="F32" i="2"/>
  <c r="F363" i="2"/>
  <c r="G363" i="2"/>
  <c r="F331" i="2"/>
  <c r="G331" i="2"/>
  <c r="F315" i="2"/>
  <c r="G315" i="2"/>
  <c r="G251" i="2"/>
  <c r="F251" i="2"/>
  <c r="G219" i="2"/>
  <c r="F219" i="2"/>
  <c r="G187" i="2"/>
  <c r="F187" i="2"/>
  <c r="G155" i="2"/>
  <c r="F155" i="2"/>
  <c r="G123" i="2"/>
  <c r="F123" i="2"/>
  <c r="G91" i="2"/>
  <c r="F91" i="2"/>
  <c r="G59" i="2"/>
  <c r="F59" i="2"/>
  <c r="G27" i="2"/>
  <c r="F27" i="2"/>
  <c r="F288" i="2"/>
  <c r="G348" i="2"/>
  <c r="F348" i="2"/>
  <c r="G316" i="2"/>
  <c r="F316" i="2"/>
  <c r="G284" i="2"/>
  <c r="F284" i="2"/>
  <c r="F304" i="2"/>
  <c r="G306" i="2"/>
  <c r="F306" i="2"/>
  <c r="F302" i="2"/>
  <c r="G302" i="2"/>
  <c r="G298" i="2"/>
  <c r="F298" i="2"/>
  <c r="G290" i="2"/>
  <c r="F290" i="2"/>
  <c r="F286" i="2"/>
  <c r="G286" i="2"/>
  <c r="G282" i="2"/>
  <c r="F282" i="2"/>
  <c r="G274" i="2"/>
  <c r="F274" i="2"/>
  <c r="F270" i="2"/>
  <c r="G270" i="2"/>
  <c r="G266" i="2"/>
  <c r="F266" i="2"/>
  <c r="F262" i="2"/>
  <c r="G262" i="2"/>
  <c r="F258" i="2"/>
  <c r="G258" i="2"/>
  <c r="F254" i="2"/>
  <c r="G254" i="2"/>
  <c r="F250" i="2"/>
  <c r="G250" i="2"/>
  <c r="F246" i="2"/>
  <c r="G246" i="2"/>
  <c r="F242" i="2"/>
  <c r="G242" i="2"/>
  <c r="F238" i="2"/>
  <c r="G238" i="2"/>
  <c r="F234" i="2"/>
  <c r="G234" i="2"/>
  <c r="F230" i="2"/>
  <c r="G230" i="2"/>
  <c r="F226" i="2"/>
  <c r="G226" i="2"/>
  <c r="F222" i="2"/>
  <c r="G222" i="2"/>
  <c r="F218" i="2"/>
  <c r="G218" i="2"/>
  <c r="F214" i="2"/>
  <c r="G214" i="2"/>
  <c r="F210" i="2"/>
  <c r="G210" i="2"/>
  <c r="F206" i="2"/>
  <c r="G206" i="2"/>
  <c r="F202" i="2"/>
  <c r="G202" i="2"/>
  <c r="F198" i="2"/>
  <c r="G198" i="2"/>
  <c r="F194" i="2"/>
  <c r="G194" i="2"/>
  <c r="F190" i="2"/>
  <c r="G190" i="2"/>
  <c r="F186" i="2"/>
  <c r="G186" i="2"/>
  <c r="F182" i="2"/>
  <c r="G182" i="2"/>
  <c r="F178" i="2"/>
  <c r="G178" i="2"/>
  <c r="F174" i="2"/>
  <c r="G174" i="2"/>
  <c r="F170" i="2"/>
  <c r="G170" i="2"/>
  <c r="F166" i="2"/>
  <c r="G166" i="2"/>
  <c r="F162" i="2"/>
  <c r="G162" i="2"/>
  <c r="F158" i="2"/>
  <c r="G158" i="2"/>
  <c r="F154" i="2"/>
  <c r="G154" i="2"/>
  <c r="F150" i="2"/>
  <c r="G150" i="2"/>
  <c r="F146" i="2"/>
  <c r="G146" i="2"/>
  <c r="F142" i="2"/>
  <c r="G142" i="2"/>
  <c r="F138" i="2"/>
  <c r="G138" i="2"/>
  <c r="F134" i="2"/>
  <c r="G134" i="2"/>
  <c r="F130" i="2"/>
  <c r="G130" i="2"/>
  <c r="F126" i="2"/>
  <c r="G126" i="2"/>
  <c r="F122" i="2"/>
  <c r="G122" i="2"/>
  <c r="F118" i="2"/>
  <c r="G118" i="2"/>
  <c r="F114" i="2"/>
  <c r="G114" i="2"/>
  <c r="F110" i="2"/>
  <c r="G110" i="2"/>
  <c r="F106" i="2"/>
  <c r="G106" i="2"/>
  <c r="F102" i="2"/>
  <c r="G102" i="2"/>
  <c r="F98" i="2"/>
  <c r="G98" i="2"/>
  <c r="F94" i="2"/>
  <c r="G94" i="2"/>
  <c r="F90" i="2"/>
  <c r="G90" i="2"/>
  <c r="F86" i="2"/>
  <c r="G86" i="2"/>
  <c r="F82" i="2"/>
  <c r="G82" i="2"/>
  <c r="F78" i="2"/>
  <c r="G78" i="2"/>
  <c r="F74" i="2"/>
  <c r="G74" i="2"/>
  <c r="F70" i="2"/>
  <c r="G70" i="2"/>
  <c r="F66" i="2"/>
  <c r="G66" i="2"/>
  <c r="F62" i="2"/>
  <c r="G62" i="2"/>
  <c r="F58" i="2"/>
  <c r="G58" i="2"/>
  <c r="F54" i="2"/>
  <c r="G54" i="2"/>
  <c r="F50" i="2"/>
  <c r="G50" i="2"/>
  <c r="F46" i="2"/>
  <c r="G46" i="2"/>
  <c r="F42" i="2"/>
  <c r="G42" i="2"/>
  <c r="F38" i="2"/>
  <c r="G38" i="2"/>
  <c r="F34" i="2"/>
  <c r="G34" i="2"/>
  <c r="F30" i="2"/>
  <c r="G30" i="2"/>
  <c r="F26" i="2"/>
  <c r="G26" i="2"/>
  <c r="F22" i="2"/>
  <c r="G22" i="2"/>
  <c r="F18" i="2"/>
  <c r="G18" i="2"/>
  <c r="F14" i="2"/>
  <c r="G14" i="2"/>
  <c r="F10" i="2"/>
  <c r="G10" i="2"/>
  <c r="F5" i="2"/>
  <c r="G5" i="2"/>
  <c r="G356" i="2"/>
  <c r="F356" i="2"/>
  <c r="G340" i="2"/>
  <c r="F340" i="2"/>
  <c r="G324" i="2"/>
  <c r="F324" i="2"/>
  <c r="G308" i="2"/>
  <c r="F308" i="2"/>
  <c r="G292" i="2"/>
  <c r="F292" i="2"/>
  <c r="G276" i="2"/>
  <c r="F276" i="2"/>
  <c r="F362" i="2"/>
  <c r="F346" i="2"/>
  <c r="F330" i="2"/>
  <c r="F314" i="2"/>
  <c r="F294" i="2"/>
  <c r="F272" i="2"/>
  <c r="F244" i="2"/>
  <c r="F212" i="2"/>
  <c r="F180" i="2"/>
  <c r="F148" i="2"/>
  <c r="F116" i="2"/>
  <c r="F84" i="2"/>
  <c r="F52" i="2"/>
  <c r="F20" i="2"/>
  <c r="F4" i="9"/>
  <c r="G4" i="9"/>
  <c r="B16" i="11"/>
  <c r="C8" i="3"/>
  <c r="D7" i="3"/>
  <c r="E7" i="3" s="1"/>
  <c r="K8" i="4"/>
  <c r="K9" i="4" s="1"/>
  <c r="G6" i="3"/>
  <c r="F6" i="3"/>
  <c r="I6" i="11"/>
  <c r="B17" i="11" s="1"/>
  <c r="B18" i="11" s="1"/>
  <c r="H6" i="11"/>
  <c r="D5" i="9"/>
  <c r="E5" i="9" s="1"/>
  <c r="C6" i="9"/>
  <c r="B15" i="11"/>
  <c r="E329" i="1"/>
  <c r="E345" i="1"/>
  <c r="E361" i="1"/>
  <c r="D16" i="1"/>
  <c r="E16" i="1" s="1"/>
  <c r="D20" i="1"/>
  <c r="E20" i="1" s="1"/>
  <c r="D24" i="1"/>
  <c r="E24" i="1" s="1"/>
  <c r="D28" i="1"/>
  <c r="E28" i="1" s="1"/>
  <c r="D32" i="1"/>
  <c r="E32" i="1" s="1"/>
  <c r="D36" i="1"/>
  <c r="E36" i="1" s="1"/>
  <c r="D40" i="1"/>
  <c r="E40" i="1" s="1"/>
  <c r="D44" i="1"/>
  <c r="E44" i="1" s="1"/>
  <c r="D48" i="1"/>
  <c r="E48" i="1" s="1"/>
  <c r="D52" i="1"/>
  <c r="E52" i="1" s="1"/>
  <c r="D56" i="1"/>
  <c r="E56" i="1" s="1"/>
  <c r="D60" i="1"/>
  <c r="E60" i="1" s="1"/>
  <c r="D64" i="1"/>
  <c r="E64" i="1" s="1"/>
  <c r="D68" i="1"/>
  <c r="E68" i="1" s="1"/>
  <c r="D72" i="1"/>
  <c r="E72" i="1" s="1"/>
  <c r="D76" i="1"/>
  <c r="E76" i="1" s="1"/>
  <c r="D80" i="1"/>
  <c r="E80" i="1" s="1"/>
  <c r="D84" i="1"/>
  <c r="E84" i="1" s="1"/>
  <c r="D88" i="1"/>
  <c r="E88" i="1" s="1"/>
  <c r="D92" i="1"/>
  <c r="E92" i="1" s="1"/>
  <c r="D96" i="1"/>
  <c r="E96" i="1" s="1"/>
  <c r="D100" i="1"/>
  <c r="E100" i="1" s="1"/>
  <c r="D104" i="1"/>
  <c r="E104" i="1" s="1"/>
  <c r="D108" i="1"/>
  <c r="E108" i="1" s="1"/>
  <c r="D112" i="1"/>
  <c r="E112" i="1" s="1"/>
  <c r="D116" i="1"/>
  <c r="E116" i="1" s="1"/>
  <c r="D120" i="1"/>
  <c r="E120" i="1" s="1"/>
  <c r="D124" i="1"/>
  <c r="E124" i="1" s="1"/>
  <c r="D128" i="1"/>
  <c r="E128" i="1" s="1"/>
  <c r="D132" i="1"/>
  <c r="E132" i="1" s="1"/>
  <c r="D136" i="1"/>
  <c r="E136" i="1" s="1"/>
  <c r="D140" i="1"/>
  <c r="E140" i="1" s="1"/>
  <c r="D144" i="1"/>
  <c r="E144" i="1" s="1"/>
  <c r="D148" i="1"/>
  <c r="E148" i="1" s="1"/>
  <c r="D152" i="1"/>
  <c r="E152" i="1" s="1"/>
  <c r="D156" i="1"/>
  <c r="E156" i="1" s="1"/>
  <c r="D160" i="1"/>
  <c r="E160" i="1" s="1"/>
  <c r="D164" i="1"/>
  <c r="E164" i="1" s="1"/>
  <c r="D168" i="1"/>
  <c r="E168" i="1" s="1"/>
  <c r="D172" i="1"/>
  <c r="E172" i="1" s="1"/>
  <c r="D176" i="1"/>
  <c r="E176" i="1" s="1"/>
  <c r="D180" i="1"/>
  <c r="E180" i="1" s="1"/>
  <c r="D184" i="1"/>
  <c r="E184" i="1" s="1"/>
  <c r="D188" i="1"/>
  <c r="E188" i="1" s="1"/>
  <c r="D192" i="1"/>
  <c r="E192" i="1" s="1"/>
  <c r="D196" i="1"/>
  <c r="E196" i="1" s="1"/>
  <c r="D200" i="1"/>
  <c r="E200" i="1" s="1"/>
  <c r="D204" i="1"/>
  <c r="E204" i="1" s="1"/>
  <c r="D208" i="1"/>
  <c r="E208" i="1" s="1"/>
  <c r="D212" i="1"/>
  <c r="E212" i="1" s="1"/>
  <c r="D216" i="1"/>
  <c r="E216" i="1" s="1"/>
  <c r="D220" i="1"/>
  <c r="E220" i="1" s="1"/>
  <c r="D224" i="1"/>
  <c r="E224" i="1" s="1"/>
  <c r="D228" i="1"/>
  <c r="E228" i="1" s="1"/>
  <c r="D232" i="1"/>
  <c r="E232" i="1" s="1"/>
  <c r="D236" i="1"/>
  <c r="E236" i="1" s="1"/>
  <c r="D240" i="1"/>
  <c r="E240" i="1" s="1"/>
  <c r="D244" i="1"/>
  <c r="E244" i="1" s="1"/>
  <c r="D248" i="1"/>
  <c r="E248" i="1" s="1"/>
  <c r="D252" i="1"/>
  <c r="E252" i="1" s="1"/>
  <c r="D256" i="1"/>
  <c r="E256" i="1" s="1"/>
  <c r="D260" i="1"/>
  <c r="E260" i="1" s="1"/>
  <c r="D264" i="1"/>
  <c r="E264" i="1" s="1"/>
  <c r="D268" i="1"/>
  <c r="E268" i="1" s="1"/>
  <c r="D272" i="1"/>
  <c r="E272" i="1" s="1"/>
  <c r="D276" i="1"/>
  <c r="E276" i="1" s="1"/>
  <c r="D280" i="1"/>
  <c r="E280" i="1" s="1"/>
  <c r="D284" i="1"/>
  <c r="E284" i="1" s="1"/>
  <c r="D288" i="1"/>
  <c r="E288" i="1" s="1"/>
  <c r="D292" i="1"/>
  <c r="E292" i="1" s="1"/>
  <c r="D296" i="1"/>
  <c r="E296" i="1" s="1"/>
  <c r="D300" i="1"/>
  <c r="E300" i="1" s="1"/>
  <c r="D304" i="1"/>
  <c r="E304" i="1" s="1"/>
  <c r="D308" i="1"/>
  <c r="E308" i="1" s="1"/>
  <c r="D312" i="1"/>
  <c r="E312" i="1" s="1"/>
  <c r="D316" i="1"/>
  <c r="E316" i="1" s="1"/>
  <c r="D320" i="1"/>
  <c r="E320" i="1" s="1"/>
  <c r="D324" i="1"/>
  <c r="E324" i="1" s="1"/>
  <c r="D328" i="1"/>
  <c r="E328" i="1" s="1"/>
  <c r="D332" i="1"/>
  <c r="E332" i="1" s="1"/>
  <c r="D336" i="1"/>
  <c r="E336" i="1" s="1"/>
  <c r="D340" i="1"/>
  <c r="E340" i="1" s="1"/>
  <c r="D344" i="1"/>
  <c r="E344" i="1" s="1"/>
  <c r="D348" i="1"/>
  <c r="E348" i="1" s="1"/>
  <c r="D352" i="1"/>
  <c r="E352" i="1" s="1"/>
  <c r="D356" i="1"/>
  <c r="E356" i="1" s="1"/>
  <c r="D360" i="1"/>
  <c r="E360" i="1" s="1"/>
  <c r="D364" i="1"/>
  <c r="E364" i="1" s="1"/>
  <c r="D12" i="1"/>
  <c r="E12" i="1" s="1"/>
  <c r="D11" i="1"/>
  <c r="E11" i="1" s="1"/>
  <c r="D8" i="1"/>
  <c r="E8" i="1" s="1"/>
  <c r="C9" i="1"/>
  <c r="D9" i="1" s="1"/>
  <c r="E9" i="1" s="1"/>
  <c r="C10" i="1"/>
  <c r="D10" i="1" s="1"/>
  <c r="E10" i="1" s="1"/>
  <c r="C11" i="1"/>
  <c r="C12" i="1"/>
  <c r="C13" i="1"/>
  <c r="D13" i="1" s="1"/>
  <c r="E13" i="1" s="1"/>
  <c r="C14" i="1"/>
  <c r="D14" i="1" s="1"/>
  <c r="E14" i="1" s="1"/>
  <c r="C15" i="1"/>
  <c r="D15" i="1" s="1"/>
  <c r="E15" i="1" s="1"/>
  <c r="C16" i="1"/>
  <c r="C17" i="1"/>
  <c r="D17" i="1" s="1"/>
  <c r="E17" i="1" s="1"/>
  <c r="C18" i="1"/>
  <c r="D18" i="1" s="1"/>
  <c r="E18" i="1" s="1"/>
  <c r="C19" i="1"/>
  <c r="D19" i="1" s="1"/>
  <c r="E19" i="1" s="1"/>
  <c r="C20" i="1"/>
  <c r="C21" i="1"/>
  <c r="D21" i="1" s="1"/>
  <c r="E21" i="1" s="1"/>
  <c r="C22" i="1"/>
  <c r="D22" i="1" s="1"/>
  <c r="E22" i="1" s="1"/>
  <c r="C23" i="1"/>
  <c r="D23" i="1" s="1"/>
  <c r="E23" i="1" s="1"/>
  <c r="C24" i="1"/>
  <c r="C25" i="1"/>
  <c r="D25" i="1" s="1"/>
  <c r="E25" i="1" s="1"/>
  <c r="C26" i="1"/>
  <c r="D26" i="1" s="1"/>
  <c r="E26" i="1" s="1"/>
  <c r="C27" i="1"/>
  <c r="D27" i="1" s="1"/>
  <c r="E27" i="1" s="1"/>
  <c r="C28" i="1"/>
  <c r="C29" i="1"/>
  <c r="D29" i="1" s="1"/>
  <c r="E29" i="1" s="1"/>
  <c r="C30" i="1"/>
  <c r="D30" i="1" s="1"/>
  <c r="E30" i="1" s="1"/>
  <c r="C31" i="1"/>
  <c r="D31" i="1" s="1"/>
  <c r="E31" i="1" s="1"/>
  <c r="C32" i="1"/>
  <c r="C33" i="1"/>
  <c r="D33" i="1" s="1"/>
  <c r="E33" i="1" s="1"/>
  <c r="C34" i="1"/>
  <c r="D34" i="1" s="1"/>
  <c r="E34" i="1" s="1"/>
  <c r="C35" i="1"/>
  <c r="D35" i="1" s="1"/>
  <c r="E35" i="1" s="1"/>
  <c r="C36" i="1"/>
  <c r="C37" i="1"/>
  <c r="D37" i="1" s="1"/>
  <c r="E37" i="1" s="1"/>
  <c r="C38" i="1"/>
  <c r="D38" i="1" s="1"/>
  <c r="E38" i="1" s="1"/>
  <c r="C39" i="1"/>
  <c r="D39" i="1" s="1"/>
  <c r="E39" i="1" s="1"/>
  <c r="C40" i="1"/>
  <c r="C41" i="1"/>
  <c r="D41" i="1" s="1"/>
  <c r="E41" i="1" s="1"/>
  <c r="C42" i="1"/>
  <c r="D42" i="1" s="1"/>
  <c r="E42" i="1" s="1"/>
  <c r="C43" i="1"/>
  <c r="D43" i="1" s="1"/>
  <c r="E43" i="1" s="1"/>
  <c r="C44" i="1"/>
  <c r="C45" i="1"/>
  <c r="D45" i="1" s="1"/>
  <c r="E45" i="1" s="1"/>
  <c r="C46" i="1"/>
  <c r="D46" i="1" s="1"/>
  <c r="E46" i="1" s="1"/>
  <c r="C47" i="1"/>
  <c r="D47" i="1" s="1"/>
  <c r="E47" i="1" s="1"/>
  <c r="C48" i="1"/>
  <c r="C49" i="1"/>
  <c r="D49" i="1" s="1"/>
  <c r="E49" i="1" s="1"/>
  <c r="C50" i="1"/>
  <c r="D50" i="1" s="1"/>
  <c r="E50" i="1" s="1"/>
  <c r="C51" i="1"/>
  <c r="D51" i="1" s="1"/>
  <c r="E51" i="1" s="1"/>
  <c r="C52" i="1"/>
  <c r="C53" i="1"/>
  <c r="D53" i="1" s="1"/>
  <c r="E53" i="1" s="1"/>
  <c r="C54" i="1"/>
  <c r="D54" i="1" s="1"/>
  <c r="E54" i="1" s="1"/>
  <c r="C55" i="1"/>
  <c r="D55" i="1" s="1"/>
  <c r="E55" i="1" s="1"/>
  <c r="C56" i="1"/>
  <c r="C57" i="1"/>
  <c r="D57" i="1" s="1"/>
  <c r="E57" i="1" s="1"/>
  <c r="C58" i="1"/>
  <c r="D58" i="1" s="1"/>
  <c r="E58" i="1" s="1"/>
  <c r="C59" i="1"/>
  <c r="D59" i="1" s="1"/>
  <c r="E59" i="1" s="1"/>
  <c r="C60" i="1"/>
  <c r="C61" i="1"/>
  <c r="D61" i="1" s="1"/>
  <c r="E61" i="1" s="1"/>
  <c r="C62" i="1"/>
  <c r="D62" i="1" s="1"/>
  <c r="E62" i="1" s="1"/>
  <c r="C63" i="1"/>
  <c r="D63" i="1" s="1"/>
  <c r="E63" i="1" s="1"/>
  <c r="C64" i="1"/>
  <c r="C65" i="1"/>
  <c r="D65" i="1" s="1"/>
  <c r="E65" i="1" s="1"/>
  <c r="C66" i="1"/>
  <c r="D66" i="1" s="1"/>
  <c r="E66" i="1" s="1"/>
  <c r="C67" i="1"/>
  <c r="D67" i="1" s="1"/>
  <c r="E67" i="1" s="1"/>
  <c r="C68" i="1"/>
  <c r="C69" i="1"/>
  <c r="D69" i="1" s="1"/>
  <c r="E69" i="1" s="1"/>
  <c r="C70" i="1"/>
  <c r="D70" i="1" s="1"/>
  <c r="E70" i="1" s="1"/>
  <c r="C71" i="1"/>
  <c r="D71" i="1" s="1"/>
  <c r="E71" i="1" s="1"/>
  <c r="C72" i="1"/>
  <c r="C73" i="1"/>
  <c r="D73" i="1" s="1"/>
  <c r="E73" i="1" s="1"/>
  <c r="C74" i="1"/>
  <c r="D74" i="1" s="1"/>
  <c r="E74" i="1" s="1"/>
  <c r="C75" i="1"/>
  <c r="D75" i="1" s="1"/>
  <c r="E75" i="1" s="1"/>
  <c r="C76" i="1"/>
  <c r="C77" i="1"/>
  <c r="D77" i="1" s="1"/>
  <c r="E77" i="1" s="1"/>
  <c r="C78" i="1"/>
  <c r="D78" i="1" s="1"/>
  <c r="E78" i="1" s="1"/>
  <c r="C79" i="1"/>
  <c r="D79" i="1" s="1"/>
  <c r="E79" i="1" s="1"/>
  <c r="C80" i="1"/>
  <c r="C81" i="1"/>
  <c r="D81" i="1" s="1"/>
  <c r="E81" i="1" s="1"/>
  <c r="C82" i="1"/>
  <c r="D82" i="1" s="1"/>
  <c r="E82" i="1" s="1"/>
  <c r="C83" i="1"/>
  <c r="D83" i="1" s="1"/>
  <c r="E83" i="1" s="1"/>
  <c r="C84" i="1"/>
  <c r="C85" i="1"/>
  <c r="D85" i="1" s="1"/>
  <c r="E85" i="1" s="1"/>
  <c r="C86" i="1"/>
  <c r="D86" i="1" s="1"/>
  <c r="E86" i="1" s="1"/>
  <c r="C87" i="1"/>
  <c r="D87" i="1" s="1"/>
  <c r="E87" i="1" s="1"/>
  <c r="C88" i="1"/>
  <c r="C89" i="1"/>
  <c r="D89" i="1" s="1"/>
  <c r="E89" i="1" s="1"/>
  <c r="C90" i="1"/>
  <c r="D90" i="1" s="1"/>
  <c r="E90" i="1" s="1"/>
  <c r="C91" i="1"/>
  <c r="D91" i="1" s="1"/>
  <c r="E91" i="1" s="1"/>
  <c r="C92" i="1"/>
  <c r="C93" i="1"/>
  <c r="D93" i="1" s="1"/>
  <c r="E93" i="1" s="1"/>
  <c r="C94" i="1"/>
  <c r="D94" i="1" s="1"/>
  <c r="E94" i="1" s="1"/>
  <c r="C95" i="1"/>
  <c r="D95" i="1" s="1"/>
  <c r="E95" i="1" s="1"/>
  <c r="C96" i="1"/>
  <c r="C97" i="1"/>
  <c r="D97" i="1" s="1"/>
  <c r="E97" i="1" s="1"/>
  <c r="C98" i="1"/>
  <c r="D98" i="1" s="1"/>
  <c r="E98" i="1" s="1"/>
  <c r="C99" i="1"/>
  <c r="D99" i="1" s="1"/>
  <c r="E99" i="1" s="1"/>
  <c r="C100" i="1"/>
  <c r="C101" i="1"/>
  <c r="D101" i="1" s="1"/>
  <c r="E101" i="1" s="1"/>
  <c r="C102" i="1"/>
  <c r="D102" i="1" s="1"/>
  <c r="E102" i="1" s="1"/>
  <c r="C103" i="1"/>
  <c r="D103" i="1" s="1"/>
  <c r="E103" i="1" s="1"/>
  <c r="C104" i="1"/>
  <c r="C105" i="1"/>
  <c r="D105" i="1" s="1"/>
  <c r="E105" i="1" s="1"/>
  <c r="C106" i="1"/>
  <c r="D106" i="1" s="1"/>
  <c r="E106" i="1" s="1"/>
  <c r="C107" i="1"/>
  <c r="D107" i="1" s="1"/>
  <c r="E107" i="1" s="1"/>
  <c r="C108" i="1"/>
  <c r="C109" i="1"/>
  <c r="D109" i="1" s="1"/>
  <c r="E109" i="1" s="1"/>
  <c r="C110" i="1"/>
  <c r="D110" i="1" s="1"/>
  <c r="E110" i="1" s="1"/>
  <c r="C111" i="1"/>
  <c r="D111" i="1" s="1"/>
  <c r="E111" i="1" s="1"/>
  <c r="C112" i="1"/>
  <c r="C113" i="1"/>
  <c r="D113" i="1" s="1"/>
  <c r="E113" i="1" s="1"/>
  <c r="C114" i="1"/>
  <c r="D114" i="1" s="1"/>
  <c r="E114" i="1" s="1"/>
  <c r="C115" i="1"/>
  <c r="D115" i="1" s="1"/>
  <c r="E115" i="1" s="1"/>
  <c r="C116" i="1"/>
  <c r="C117" i="1"/>
  <c r="D117" i="1" s="1"/>
  <c r="E117" i="1" s="1"/>
  <c r="C118" i="1"/>
  <c r="D118" i="1" s="1"/>
  <c r="E118" i="1" s="1"/>
  <c r="C119" i="1"/>
  <c r="D119" i="1" s="1"/>
  <c r="E119" i="1" s="1"/>
  <c r="C120" i="1"/>
  <c r="C121" i="1"/>
  <c r="D121" i="1" s="1"/>
  <c r="E121" i="1" s="1"/>
  <c r="C122" i="1"/>
  <c r="D122" i="1" s="1"/>
  <c r="E122" i="1" s="1"/>
  <c r="C123" i="1"/>
  <c r="D123" i="1" s="1"/>
  <c r="E123" i="1" s="1"/>
  <c r="C124" i="1"/>
  <c r="C125" i="1"/>
  <c r="D125" i="1" s="1"/>
  <c r="E125" i="1" s="1"/>
  <c r="C126" i="1"/>
  <c r="D126" i="1" s="1"/>
  <c r="E126" i="1" s="1"/>
  <c r="C127" i="1"/>
  <c r="D127" i="1" s="1"/>
  <c r="E127" i="1" s="1"/>
  <c r="C128" i="1"/>
  <c r="C129" i="1"/>
  <c r="D129" i="1" s="1"/>
  <c r="E129" i="1" s="1"/>
  <c r="C130" i="1"/>
  <c r="D130" i="1" s="1"/>
  <c r="E130" i="1" s="1"/>
  <c r="C131" i="1"/>
  <c r="D131" i="1" s="1"/>
  <c r="E131" i="1" s="1"/>
  <c r="C132" i="1"/>
  <c r="C133" i="1"/>
  <c r="D133" i="1" s="1"/>
  <c r="E133" i="1" s="1"/>
  <c r="C134" i="1"/>
  <c r="D134" i="1" s="1"/>
  <c r="E134" i="1" s="1"/>
  <c r="C135" i="1"/>
  <c r="D135" i="1" s="1"/>
  <c r="E135" i="1" s="1"/>
  <c r="C136" i="1"/>
  <c r="C137" i="1"/>
  <c r="D137" i="1" s="1"/>
  <c r="E137" i="1" s="1"/>
  <c r="C138" i="1"/>
  <c r="D138" i="1" s="1"/>
  <c r="E138" i="1" s="1"/>
  <c r="C139" i="1"/>
  <c r="D139" i="1" s="1"/>
  <c r="E139" i="1" s="1"/>
  <c r="C140" i="1"/>
  <c r="C141" i="1"/>
  <c r="D141" i="1" s="1"/>
  <c r="E141" i="1" s="1"/>
  <c r="C142" i="1"/>
  <c r="D142" i="1" s="1"/>
  <c r="E142" i="1" s="1"/>
  <c r="C143" i="1"/>
  <c r="D143" i="1" s="1"/>
  <c r="E143" i="1" s="1"/>
  <c r="C144" i="1"/>
  <c r="C145" i="1"/>
  <c r="D145" i="1" s="1"/>
  <c r="E145" i="1" s="1"/>
  <c r="C146" i="1"/>
  <c r="D146" i="1" s="1"/>
  <c r="E146" i="1" s="1"/>
  <c r="C147" i="1"/>
  <c r="D147" i="1" s="1"/>
  <c r="E147" i="1" s="1"/>
  <c r="C148" i="1"/>
  <c r="C149" i="1"/>
  <c r="D149" i="1" s="1"/>
  <c r="E149" i="1" s="1"/>
  <c r="C150" i="1"/>
  <c r="D150" i="1" s="1"/>
  <c r="E150" i="1" s="1"/>
  <c r="C151" i="1"/>
  <c r="D151" i="1" s="1"/>
  <c r="E151" i="1" s="1"/>
  <c r="C152" i="1"/>
  <c r="C153" i="1"/>
  <c r="D153" i="1" s="1"/>
  <c r="E153" i="1" s="1"/>
  <c r="C154" i="1"/>
  <c r="D154" i="1" s="1"/>
  <c r="E154" i="1" s="1"/>
  <c r="C155" i="1"/>
  <c r="D155" i="1" s="1"/>
  <c r="E155" i="1" s="1"/>
  <c r="C156" i="1"/>
  <c r="C157" i="1"/>
  <c r="D157" i="1" s="1"/>
  <c r="E157" i="1" s="1"/>
  <c r="C158" i="1"/>
  <c r="D158" i="1" s="1"/>
  <c r="E158" i="1" s="1"/>
  <c r="C159" i="1"/>
  <c r="D159" i="1" s="1"/>
  <c r="E159" i="1" s="1"/>
  <c r="C160" i="1"/>
  <c r="C161" i="1"/>
  <c r="D161" i="1" s="1"/>
  <c r="E161" i="1" s="1"/>
  <c r="C162" i="1"/>
  <c r="D162" i="1" s="1"/>
  <c r="E162" i="1" s="1"/>
  <c r="C163" i="1"/>
  <c r="D163" i="1" s="1"/>
  <c r="E163" i="1" s="1"/>
  <c r="C164" i="1"/>
  <c r="C165" i="1"/>
  <c r="D165" i="1" s="1"/>
  <c r="E165" i="1" s="1"/>
  <c r="C166" i="1"/>
  <c r="D166" i="1" s="1"/>
  <c r="E166" i="1" s="1"/>
  <c r="C167" i="1"/>
  <c r="D167" i="1" s="1"/>
  <c r="E167" i="1" s="1"/>
  <c r="C168" i="1"/>
  <c r="C169" i="1"/>
  <c r="D169" i="1" s="1"/>
  <c r="E169" i="1" s="1"/>
  <c r="C170" i="1"/>
  <c r="D170" i="1" s="1"/>
  <c r="E170" i="1" s="1"/>
  <c r="C171" i="1"/>
  <c r="D171" i="1" s="1"/>
  <c r="E171" i="1" s="1"/>
  <c r="C172" i="1"/>
  <c r="C173" i="1"/>
  <c r="D173" i="1" s="1"/>
  <c r="E173" i="1" s="1"/>
  <c r="C174" i="1"/>
  <c r="D174" i="1" s="1"/>
  <c r="E174" i="1" s="1"/>
  <c r="C175" i="1"/>
  <c r="D175" i="1" s="1"/>
  <c r="E175" i="1" s="1"/>
  <c r="C176" i="1"/>
  <c r="C177" i="1"/>
  <c r="D177" i="1" s="1"/>
  <c r="E177" i="1" s="1"/>
  <c r="C178" i="1"/>
  <c r="D178" i="1" s="1"/>
  <c r="E178" i="1" s="1"/>
  <c r="C179" i="1"/>
  <c r="D179" i="1" s="1"/>
  <c r="E179" i="1" s="1"/>
  <c r="C180" i="1"/>
  <c r="C181" i="1"/>
  <c r="D181" i="1" s="1"/>
  <c r="E181" i="1" s="1"/>
  <c r="C182" i="1"/>
  <c r="D182" i="1" s="1"/>
  <c r="E182" i="1" s="1"/>
  <c r="C183" i="1"/>
  <c r="D183" i="1" s="1"/>
  <c r="E183" i="1" s="1"/>
  <c r="C184" i="1"/>
  <c r="C185" i="1"/>
  <c r="D185" i="1" s="1"/>
  <c r="E185" i="1" s="1"/>
  <c r="C186" i="1"/>
  <c r="D186" i="1" s="1"/>
  <c r="E186" i="1" s="1"/>
  <c r="C187" i="1"/>
  <c r="D187" i="1" s="1"/>
  <c r="E187" i="1" s="1"/>
  <c r="C188" i="1"/>
  <c r="C189" i="1"/>
  <c r="D189" i="1" s="1"/>
  <c r="E189" i="1" s="1"/>
  <c r="C190" i="1"/>
  <c r="D190" i="1" s="1"/>
  <c r="E190" i="1" s="1"/>
  <c r="C191" i="1"/>
  <c r="D191" i="1" s="1"/>
  <c r="E191" i="1" s="1"/>
  <c r="C192" i="1"/>
  <c r="C193" i="1"/>
  <c r="D193" i="1" s="1"/>
  <c r="E193" i="1" s="1"/>
  <c r="C194" i="1"/>
  <c r="D194" i="1" s="1"/>
  <c r="E194" i="1" s="1"/>
  <c r="C195" i="1"/>
  <c r="D195" i="1" s="1"/>
  <c r="E195" i="1" s="1"/>
  <c r="C196" i="1"/>
  <c r="C197" i="1"/>
  <c r="D197" i="1" s="1"/>
  <c r="E197" i="1" s="1"/>
  <c r="C198" i="1"/>
  <c r="D198" i="1" s="1"/>
  <c r="E198" i="1" s="1"/>
  <c r="C199" i="1"/>
  <c r="D199" i="1" s="1"/>
  <c r="E199" i="1" s="1"/>
  <c r="C200" i="1"/>
  <c r="C201" i="1"/>
  <c r="D201" i="1" s="1"/>
  <c r="E201" i="1" s="1"/>
  <c r="C202" i="1"/>
  <c r="D202" i="1" s="1"/>
  <c r="E202" i="1" s="1"/>
  <c r="C203" i="1"/>
  <c r="D203" i="1" s="1"/>
  <c r="E203" i="1" s="1"/>
  <c r="C204" i="1"/>
  <c r="C205" i="1"/>
  <c r="D205" i="1" s="1"/>
  <c r="E205" i="1" s="1"/>
  <c r="C206" i="1"/>
  <c r="D206" i="1" s="1"/>
  <c r="E206" i="1" s="1"/>
  <c r="C207" i="1"/>
  <c r="D207" i="1" s="1"/>
  <c r="E207" i="1" s="1"/>
  <c r="C208" i="1"/>
  <c r="C209" i="1"/>
  <c r="D209" i="1" s="1"/>
  <c r="E209" i="1" s="1"/>
  <c r="C210" i="1"/>
  <c r="D210" i="1" s="1"/>
  <c r="E210" i="1" s="1"/>
  <c r="C211" i="1"/>
  <c r="D211" i="1" s="1"/>
  <c r="E211" i="1" s="1"/>
  <c r="C212" i="1"/>
  <c r="C213" i="1"/>
  <c r="D213" i="1" s="1"/>
  <c r="E213" i="1" s="1"/>
  <c r="C214" i="1"/>
  <c r="D214" i="1" s="1"/>
  <c r="E214" i="1" s="1"/>
  <c r="C215" i="1"/>
  <c r="D215" i="1" s="1"/>
  <c r="E215" i="1" s="1"/>
  <c r="C216" i="1"/>
  <c r="C217" i="1"/>
  <c r="D217" i="1" s="1"/>
  <c r="E217" i="1" s="1"/>
  <c r="C218" i="1"/>
  <c r="D218" i="1" s="1"/>
  <c r="E218" i="1" s="1"/>
  <c r="C219" i="1"/>
  <c r="D219" i="1" s="1"/>
  <c r="E219" i="1" s="1"/>
  <c r="C220" i="1"/>
  <c r="C221" i="1"/>
  <c r="D221" i="1" s="1"/>
  <c r="E221" i="1" s="1"/>
  <c r="C222" i="1"/>
  <c r="D222" i="1" s="1"/>
  <c r="E222" i="1" s="1"/>
  <c r="C223" i="1"/>
  <c r="D223" i="1" s="1"/>
  <c r="E223" i="1" s="1"/>
  <c r="C224" i="1"/>
  <c r="C225" i="1"/>
  <c r="D225" i="1" s="1"/>
  <c r="E225" i="1" s="1"/>
  <c r="C226" i="1"/>
  <c r="D226" i="1" s="1"/>
  <c r="E226" i="1" s="1"/>
  <c r="C227" i="1"/>
  <c r="D227" i="1" s="1"/>
  <c r="E227" i="1" s="1"/>
  <c r="C228" i="1"/>
  <c r="C229" i="1"/>
  <c r="D229" i="1" s="1"/>
  <c r="E229" i="1" s="1"/>
  <c r="C230" i="1"/>
  <c r="D230" i="1" s="1"/>
  <c r="E230" i="1" s="1"/>
  <c r="C231" i="1"/>
  <c r="D231" i="1" s="1"/>
  <c r="E231" i="1" s="1"/>
  <c r="C232" i="1"/>
  <c r="C233" i="1"/>
  <c r="D233" i="1" s="1"/>
  <c r="E233" i="1" s="1"/>
  <c r="C234" i="1"/>
  <c r="D234" i="1" s="1"/>
  <c r="E234" i="1" s="1"/>
  <c r="C235" i="1"/>
  <c r="D235" i="1" s="1"/>
  <c r="E235" i="1" s="1"/>
  <c r="C236" i="1"/>
  <c r="C237" i="1"/>
  <c r="D237" i="1" s="1"/>
  <c r="E237" i="1" s="1"/>
  <c r="C238" i="1"/>
  <c r="D238" i="1" s="1"/>
  <c r="E238" i="1" s="1"/>
  <c r="C239" i="1"/>
  <c r="D239" i="1" s="1"/>
  <c r="E239" i="1" s="1"/>
  <c r="C240" i="1"/>
  <c r="C241" i="1"/>
  <c r="D241" i="1" s="1"/>
  <c r="E241" i="1" s="1"/>
  <c r="C242" i="1"/>
  <c r="D242" i="1" s="1"/>
  <c r="E242" i="1" s="1"/>
  <c r="C243" i="1"/>
  <c r="D243" i="1" s="1"/>
  <c r="E243" i="1" s="1"/>
  <c r="C244" i="1"/>
  <c r="C245" i="1"/>
  <c r="D245" i="1" s="1"/>
  <c r="E245" i="1" s="1"/>
  <c r="C246" i="1"/>
  <c r="D246" i="1" s="1"/>
  <c r="E246" i="1" s="1"/>
  <c r="C247" i="1"/>
  <c r="D247" i="1" s="1"/>
  <c r="E247" i="1" s="1"/>
  <c r="C248" i="1"/>
  <c r="C249" i="1"/>
  <c r="D249" i="1" s="1"/>
  <c r="E249" i="1" s="1"/>
  <c r="C250" i="1"/>
  <c r="D250" i="1" s="1"/>
  <c r="E250" i="1" s="1"/>
  <c r="C251" i="1"/>
  <c r="D251" i="1" s="1"/>
  <c r="E251" i="1" s="1"/>
  <c r="C252" i="1"/>
  <c r="C253" i="1"/>
  <c r="D253" i="1" s="1"/>
  <c r="E253" i="1" s="1"/>
  <c r="C254" i="1"/>
  <c r="D254" i="1" s="1"/>
  <c r="E254" i="1" s="1"/>
  <c r="C255" i="1"/>
  <c r="D255" i="1" s="1"/>
  <c r="E255" i="1" s="1"/>
  <c r="C256" i="1"/>
  <c r="C257" i="1"/>
  <c r="D257" i="1" s="1"/>
  <c r="E257" i="1" s="1"/>
  <c r="C258" i="1"/>
  <c r="D258" i="1" s="1"/>
  <c r="E258" i="1" s="1"/>
  <c r="C259" i="1"/>
  <c r="D259" i="1" s="1"/>
  <c r="E259" i="1" s="1"/>
  <c r="C260" i="1"/>
  <c r="C261" i="1"/>
  <c r="D261" i="1" s="1"/>
  <c r="E261" i="1" s="1"/>
  <c r="C262" i="1"/>
  <c r="D262" i="1" s="1"/>
  <c r="E262" i="1" s="1"/>
  <c r="C263" i="1"/>
  <c r="D263" i="1" s="1"/>
  <c r="E263" i="1" s="1"/>
  <c r="C264" i="1"/>
  <c r="C265" i="1"/>
  <c r="D265" i="1" s="1"/>
  <c r="E265" i="1" s="1"/>
  <c r="C266" i="1"/>
  <c r="D266" i="1" s="1"/>
  <c r="E266" i="1" s="1"/>
  <c r="C267" i="1"/>
  <c r="D267" i="1" s="1"/>
  <c r="E267" i="1" s="1"/>
  <c r="C268" i="1"/>
  <c r="C269" i="1"/>
  <c r="D269" i="1" s="1"/>
  <c r="E269" i="1" s="1"/>
  <c r="C270" i="1"/>
  <c r="D270" i="1" s="1"/>
  <c r="E270" i="1" s="1"/>
  <c r="C271" i="1"/>
  <c r="D271" i="1" s="1"/>
  <c r="E271" i="1" s="1"/>
  <c r="C272" i="1"/>
  <c r="C273" i="1"/>
  <c r="D273" i="1" s="1"/>
  <c r="E273" i="1" s="1"/>
  <c r="C274" i="1"/>
  <c r="D274" i="1" s="1"/>
  <c r="E274" i="1" s="1"/>
  <c r="C275" i="1"/>
  <c r="D275" i="1" s="1"/>
  <c r="E275" i="1" s="1"/>
  <c r="C276" i="1"/>
  <c r="C277" i="1"/>
  <c r="D277" i="1" s="1"/>
  <c r="E277" i="1" s="1"/>
  <c r="C278" i="1"/>
  <c r="D278" i="1" s="1"/>
  <c r="E278" i="1" s="1"/>
  <c r="C279" i="1"/>
  <c r="D279" i="1" s="1"/>
  <c r="E279" i="1" s="1"/>
  <c r="C280" i="1"/>
  <c r="C281" i="1"/>
  <c r="D281" i="1" s="1"/>
  <c r="E281" i="1" s="1"/>
  <c r="C282" i="1"/>
  <c r="D282" i="1" s="1"/>
  <c r="E282" i="1" s="1"/>
  <c r="C283" i="1"/>
  <c r="D283" i="1" s="1"/>
  <c r="E283" i="1" s="1"/>
  <c r="C284" i="1"/>
  <c r="C285" i="1"/>
  <c r="D285" i="1" s="1"/>
  <c r="E285" i="1" s="1"/>
  <c r="C286" i="1"/>
  <c r="D286" i="1" s="1"/>
  <c r="E286" i="1" s="1"/>
  <c r="C287" i="1"/>
  <c r="D287" i="1" s="1"/>
  <c r="E287" i="1" s="1"/>
  <c r="C288" i="1"/>
  <c r="C289" i="1"/>
  <c r="D289" i="1" s="1"/>
  <c r="E289" i="1" s="1"/>
  <c r="C290" i="1"/>
  <c r="D290" i="1" s="1"/>
  <c r="E290" i="1" s="1"/>
  <c r="C291" i="1"/>
  <c r="D291" i="1" s="1"/>
  <c r="E291" i="1" s="1"/>
  <c r="C292" i="1"/>
  <c r="C293" i="1"/>
  <c r="D293" i="1" s="1"/>
  <c r="E293" i="1" s="1"/>
  <c r="C294" i="1"/>
  <c r="D294" i="1" s="1"/>
  <c r="E294" i="1" s="1"/>
  <c r="C295" i="1"/>
  <c r="D295" i="1" s="1"/>
  <c r="E295" i="1" s="1"/>
  <c r="C296" i="1"/>
  <c r="C297" i="1"/>
  <c r="D297" i="1" s="1"/>
  <c r="E297" i="1" s="1"/>
  <c r="C298" i="1"/>
  <c r="D298" i="1" s="1"/>
  <c r="E298" i="1" s="1"/>
  <c r="C299" i="1"/>
  <c r="D299" i="1" s="1"/>
  <c r="E299" i="1" s="1"/>
  <c r="C300" i="1"/>
  <c r="C301" i="1"/>
  <c r="D301" i="1" s="1"/>
  <c r="E301" i="1" s="1"/>
  <c r="C302" i="1"/>
  <c r="D302" i="1" s="1"/>
  <c r="E302" i="1" s="1"/>
  <c r="C303" i="1"/>
  <c r="D303" i="1" s="1"/>
  <c r="E303" i="1" s="1"/>
  <c r="C304" i="1"/>
  <c r="C305" i="1"/>
  <c r="D305" i="1" s="1"/>
  <c r="E305" i="1" s="1"/>
  <c r="C306" i="1"/>
  <c r="D306" i="1" s="1"/>
  <c r="E306" i="1" s="1"/>
  <c r="C307" i="1"/>
  <c r="D307" i="1" s="1"/>
  <c r="E307" i="1" s="1"/>
  <c r="C308" i="1"/>
  <c r="C309" i="1"/>
  <c r="D309" i="1" s="1"/>
  <c r="E309" i="1" s="1"/>
  <c r="C310" i="1"/>
  <c r="D310" i="1" s="1"/>
  <c r="E310" i="1" s="1"/>
  <c r="C311" i="1"/>
  <c r="D311" i="1" s="1"/>
  <c r="E311" i="1" s="1"/>
  <c r="C312" i="1"/>
  <c r="C313" i="1"/>
  <c r="D313" i="1" s="1"/>
  <c r="E313" i="1" s="1"/>
  <c r="C314" i="1"/>
  <c r="D314" i="1" s="1"/>
  <c r="E314" i="1" s="1"/>
  <c r="C315" i="1"/>
  <c r="D315" i="1" s="1"/>
  <c r="E315" i="1" s="1"/>
  <c r="C316" i="1"/>
  <c r="C317" i="1"/>
  <c r="D317" i="1" s="1"/>
  <c r="E317" i="1" s="1"/>
  <c r="C318" i="1"/>
  <c r="D318" i="1" s="1"/>
  <c r="E318" i="1" s="1"/>
  <c r="C319" i="1"/>
  <c r="D319" i="1" s="1"/>
  <c r="E319" i="1" s="1"/>
  <c r="C320" i="1"/>
  <c r="C321" i="1"/>
  <c r="D321" i="1" s="1"/>
  <c r="E321" i="1" s="1"/>
  <c r="C322" i="1"/>
  <c r="D322" i="1" s="1"/>
  <c r="E322" i="1" s="1"/>
  <c r="C323" i="1"/>
  <c r="D323" i="1" s="1"/>
  <c r="E323" i="1" s="1"/>
  <c r="C324" i="1"/>
  <c r="C325" i="1"/>
  <c r="D325" i="1" s="1"/>
  <c r="E325" i="1" s="1"/>
  <c r="C326" i="1"/>
  <c r="D326" i="1" s="1"/>
  <c r="E326" i="1" s="1"/>
  <c r="C327" i="1"/>
  <c r="D327" i="1" s="1"/>
  <c r="E327" i="1" s="1"/>
  <c r="C328" i="1"/>
  <c r="C329" i="1"/>
  <c r="D329" i="1" s="1"/>
  <c r="C330" i="1"/>
  <c r="D330" i="1" s="1"/>
  <c r="E330" i="1" s="1"/>
  <c r="C331" i="1"/>
  <c r="D331" i="1" s="1"/>
  <c r="E331" i="1" s="1"/>
  <c r="C332" i="1"/>
  <c r="C333" i="1"/>
  <c r="D333" i="1" s="1"/>
  <c r="E333" i="1" s="1"/>
  <c r="C334" i="1"/>
  <c r="D334" i="1" s="1"/>
  <c r="E334" i="1" s="1"/>
  <c r="C335" i="1"/>
  <c r="D335" i="1" s="1"/>
  <c r="E335" i="1" s="1"/>
  <c r="C336" i="1"/>
  <c r="C337" i="1"/>
  <c r="D337" i="1" s="1"/>
  <c r="E337" i="1" s="1"/>
  <c r="C338" i="1"/>
  <c r="D338" i="1" s="1"/>
  <c r="E338" i="1" s="1"/>
  <c r="C339" i="1"/>
  <c r="D339" i="1" s="1"/>
  <c r="E339" i="1" s="1"/>
  <c r="C340" i="1"/>
  <c r="C341" i="1"/>
  <c r="D341" i="1" s="1"/>
  <c r="E341" i="1" s="1"/>
  <c r="C342" i="1"/>
  <c r="D342" i="1" s="1"/>
  <c r="E342" i="1" s="1"/>
  <c r="C343" i="1"/>
  <c r="D343" i="1" s="1"/>
  <c r="E343" i="1" s="1"/>
  <c r="C344" i="1"/>
  <c r="C345" i="1"/>
  <c r="D345" i="1" s="1"/>
  <c r="C346" i="1"/>
  <c r="D346" i="1" s="1"/>
  <c r="E346" i="1" s="1"/>
  <c r="C347" i="1"/>
  <c r="D347" i="1" s="1"/>
  <c r="E347" i="1" s="1"/>
  <c r="C348" i="1"/>
  <c r="C349" i="1"/>
  <c r="D349" i="1" s="1"/>
  <c r="E349" i="1" s="1"/>
  <c r="C350" i="1"/>
  <c r="D350" i="1" s="1"/>
  <c r="E350" i="1" s="1"/>
  <c r="C351" i="1"/>
  <c r="D351" i="1" s="1"/>
  <c r="E351" i="1" s="1"/>
  <c r="C352" i="1"/>
  <c r="C353" i="1"/>
  <c r="D353" i="1" s="1"/>
  <c r="E353" i="1" s="1"/>
  <c r="C354" i="1"/>
  <c r="D354" i="1" s="1"/>
  <c r="E354" i="1" s="1"/>
  <c r="C355" i="1"/>
  <c r="D355" i="1" s="1"/>
  <c r="E355" i="1" s="1"/>
  <c r="C356" i="1"/>
  <c r="C357" i="1"/>
  <c r="D357" i="1" s="1"/>
  <c r="E357" i="1" s="1"/>
  <c r="C358" i="1"/>
  <c r="D358" i="1" s="1"/>
  <c r="E358" i="1" s="1"/>
  <c r="C359" i="1"/>
  <c r="D359" i="1" s="1"/>
  <c r="E359" i="1" s="1"/>
  <c r="C360" i="1"/>
  <c r="C361" i="1"/>
  <c r="D361" i="1" s="1"/>
  <c r="C362" i="1"/>
  <c r="D362" i="1" s="1"/>
  <c r="E362" i="1" s="1"/>
  <c r="C363" i="1"/>
  <c r="D363" i="1" s="1"/>
  <c r="E363" i="1" s="1"/>
  <c r="C364" i="1"/>
  <c r="C365" i="1"/>
  <c r="D365" i="1" s="1"/>
  <c r="E365" i="1" s="1"/>
  <c r="C366" i="1"/>
  <c r="D366" i="1" s="1"/>
  <c r="E366" i="1" s="1"/>
  <c r="C5" i="1"/>
  <c r="D5" i="1" s="1"/>
  <c r="E5" i="1" s="1"/>
  <c r="C6" i="1"/>
  <c r="D6" i="1" s="1"/>
  <c r="E6" i="1" s="1"/>
  <c r="C7" i="1"/>
  <c r="D7" i="1" s="1"/>
  <c r="E7" i="1" s="1"/>
  <c r="C8" i="1"/>
  <c r="C4" i="1"/>
  <c r="D4" i="1" s="1"/>
  <c r="E4" i="1" s="1"/>
  <c r="G4" i="1" s="1"/>
  <c r="C3" i="1"/>
  <c r="D3" i="1" s="1"/>
  <c r="E3" i="1" s="1"/>
  <c r="G365" i="1" l="1"/>
  <c r="F365" i="1"/>
  <c r="G353" i="1"/>
  <c r="F353" i="1"/>
  <c r="G341" i="1"/>
  <c r="F341" i="1"/>
  <c r="G337" i="1"/>
  <c r="F337" i="1"/>
  <c r="G325" i="1"/>
  <c r="F325" i="1"/>
  <c r="G357" i="1"/>
  <c r="F357" i="1"/>
  <c r="G349" i="1"/>
  <c r="F349" i="1"/>
  <c r="G333" i="1"/>
  <c r="F333" i="1"/>
  <c r="G321" i="1"/>
  <c r="F321" i="1"/>
  <c r="G6" i="1"/>
  <c r="F6" i="1"/>
  <c r="G8" i="1"/>
  <c r="F8" i="1"/>
  <c r="G328" i="1"/>
  <c r="F328" i="1"/>
  <c r="G280" i="1"/>
  <c r="F280" i="1"/>
  <c r="G232" i="1"/>
  <c r="F232" i="1"/>
  <c r="G200" i="1"/>
  <c r="F200" i="1"/>
  <c r="G152" i="1"/>
  <c r="F152" i="1"/>
  <c r="G120" i="1"/>
  <c r="F120" i="1"/>
  <c r="G88" i="1"/>
  <c r="F88" i="1"/>
  <c r="G40" i="1"/>
  <c r="F40" i="1"/>
  <c r="G361" i="1"/>
  <c r="F361" i="1"/>
  <c r="G329" i="1"/>
  <c r="F329" i="1"/>
  <c r="G359" i="1"/>
  <c r="F359" i="1"/>
  <c r="G347" i="1"/>
  <c r="F347" i="1"/>
  <c r="G339" i="1"/>
  <c r="F339" i="1"/>
  <c r="G327" i="1"/>
  <c r="F327" i="1"/>
  <c r="G315" i="1"/>
  <c r="F315" i="1"/>
  <c r="G303" i="1"/>
  <c r="F303" i="1"/>
  <c r="G295" i="1"/>
  <c r="F295" i="1"/>
  <c r="G287" i="1"/>
  <c r="F287" i="1"/>
  <c r="G279" i="1"/>
  <c r="F279" i="1"/>
  <c r="G271" i="1"/>
  <c r="F271" i="1"/>
  <c r="G263" i="1"/>
  <c r="F263" i="1"/>
  <c r="G255" i="1"/>
  <c r="F255" i="1"/>
  <c r="G247" i="1"/>
  <c r="F247" i="1"/>
  <c r="G239" i="1"/>
  <c r="F239" i="1"/>
  <c r="G231" i="1"/>
  <c r="F231" i="1"/>
  <c r="G227" i="1"/>
  <c r="F227" i="1"/>
  <c r="G219" i="1"/>
  <c r="F219" i="1"/>
  <c r="G215" i="1"/>
  <c r="F215" i="1"/>
  <c r="G211" i="1"/>
  <c r="F211" i="1"/>
  <c r="G207" i="1"/>
  <c r="F207" i="1"/>
  <c r="G199" i="1"/>
  <c r="F199" i="1"/>
  <c r="G195" i="1"/>
  <c r="F195" i="1"/>
  <c r="G191" i="1"/>
  <c r="F191" i="1"/>
  <c r="G187" i="1"/>
  <c r="F187" i="1"/>
  <c r="G183" i="1"/>
  <c r="F183" i="1"/>
  <c r="G179" i="1"/>
  <c r="F179" i="1"/>
  <c r="G175" i="1"/>
  <c r="F175" i="1"/>
  <c r="G171" i="1"/>
  <c r="F171" i="1"/>
  <c r="G167" i="1"/>
  <c r="F167" i="1"/>
  <c r="G163" i="1"/>
  <c r="F163" i="1"/>
  <c r="G159" i="1"/>
  <c r="F159" i="1"/>
  <c r="G155" i="1"/>
  <c r="F155" i="1"/>
  <c r="G151" i="1"/>
  <c r="F151" i="1"/>
  <c r="G147" i="1"/>
  <c r="F147" i="1"/>
  <c r="G143" i="1"/>
  <c r="F143" i="1"/>
  <c r="G139" i="1"/>
  <c r="F139" i="1"/>
  <c r="G135" i="1"/>
  <c r="F135" i="1"/>
  <c r="G131" i="1"/>
  <c r="F131" i="1"/>
  <c r="G127" i="1"/>
  <c r="F127" i="1"/>
  <c r="G123" i="1"/>
  <c r="F123" i="1"/>
  <c r="G119" i="1"/>
  <c r="F119" i="1"/>
  <c r="G115" i="1"/>
  <c r="F115" i="1"/>
  <c r="G111" i="1"/>
  <c r="F111" i="1"/>
  <c r="G107" i="1"/>
  <c r="F107" i="1"/>
  <c r="G103" i="1"/>
  <c r="F103" i="1"/>
  <c r="G99" i="1"/>
  <c r="F99" i="1"/>
  <c r="G95" i="1"/>
  <c r="F95" i="1"/>
  <c r="G91" i="1"/>
  <c r="F91" i="1"/>
  <c r="G87" i="1"/>
  <c r="F87" i="1"/>
  <c r="G83" i="1"/>
  <c r="F83" i="1"/>
  <c r="G79" i="1"/>
  <c r="F79" i="1"/>
  <c r="G75" i="1"/>
  <c r="F75" i="1"/>
  <c r="G71" i="1"/>
  <c r="F71" i="1"/>
  <c r="G67" i="1"/>
  <c r="F67" i="1"/>
  <c r="G63" i="1"/>
  <c r="F63" i="1"/>
  <c r="G59" i="1"/>
  <c r="F59" i="1"/>
  <c r="G55" i="1"/>
  <c r="F55" i="1"/>
  <c r="G51" i="1"/>
  <c r="F51" i="1"/>
  <c r="G47" i="1"/>
  <c r="F47" i="1"/>
  <c r="G43" i="1"/>
  <c r="F43" i="1"/>
  <c r="G39" i="1"/>
  <c r="F39" i="1"/>
  <c r="G35" i="1"/>
  <c r="F35" i="1"/>
  <c r="G31" i="1"/>
  <c r="F31" i="1"/>
  <c r="G27" i="1"/>
  <c r="F27" i="1"/>
  <c r="G23" i="1"/>
  <c r="F23" i="1"/>
  <c r="G19" i="1"/>
  <c r="F19" i="1"/>
  <c r="G15" i="1"/>
  <c r="F15" i="1"/>
  <c r="G11" i="1"/>
  <c r="F11" i="1"/>
  <c r="G356" i="1"/>
  <c r="F356" i="1"/>
  <c r="G340" i="1"/>
  <c r="F340" i="1"/>
  <c r="G324" i="1"/>
  <c r="F324" i="1"/>
  <c r="G308" i="1"/>
  <c r="F308" i="1"/>
  <c r="G292" i="1"/>
  <c r="F292" i="1"/>
  <c r="G276" i="1"/>
  <c r="F276" i="1"/>
  <c r="G260" i="1"/>
  <c r="F260" i="1"/>
  <c r="G244" i="1"/>
  <c r="F244" i="1"/>
  <c r="G228" i="1"/>
  <c r="F228" i="1"/>
  <c r="G212" i="1"/>
  <c r="F212" i="1"/>
  <c r="G196" i="1"/>
  <c r="F196" i="1"/>
  <c r="G180" i="1"/>
  <c r="F180" i="1"/>
  <c r="G164" i="1"/>
  <c r="F164" i="1"/>
  <c r="G148" i="1"/>
  <c r="F148" i="1"/>
  <c r="G132" i="1"/>
  <c r="F132" i="1"/>
  <c r="G116" i="1"/>
  <c r="F116" i="1"/>
  <c r="G100" i="1"/>
  <c r="F100" i="1"/>
  <c r="G84" i="1"/>
  <c r="F84" i="1"/>
  <c r="G68" i="1"/>
  <c r="F68" i="1"/>
  <c r="G52" i="1"/>
  <c r="F52" i="1"/>
  <c r="G36" i="1"/>
  <c r="F36" i="1"/>
  <c r="G20" i="1"/>
  <c r="F20" i="1"/>
  <c r="G360" i="1"/>
  <c r="F360" i="1"/>
  <c r="G312" i="1"/>
  <c r="F312" i="1"/>
  <c r="G248" i="1"/>
  <c r="F248" i="1"/>
  <c r="G184" i="1"/>
  <c r="F184" i="1"/>
  <c r="G72" i="1"/>
  <c r="F72" i="1"/>
  <c r="G363" i="1"/>
  <c r="F363" i="1"/>
  <c r="G351" i="1"/>
  <c r="F351" i="1"/>
  <c r="G335" i="1"/>
  <c r="F335" i="1"/>
  <c r="G319" i="1"/>
  <c r="F319" i="1"/>
  <c r="G307" i="1"/>
  <c r="F307" i="1"/>
  <c r="G299" i="1"/>
  <c r="F299" i="1"/>
  <c r="G291" i="1"/>
  <c r="F291" i="1"/>
  <c r="G283" i="1"/>
  <c r="F283" i="1"/>
  <c r="G275" i="1"/>
  <c r="F275" i="1"/>
  <c r="G267" i="1"/>
  <c r="F267" i="1"/>
  <c r="G259" i="1"/>
  <c r="F259" i="1"/>
  <c r="G251" i="1"/>
  <c r="F251" i="1"/>
  <c r="G243" i="1"/>
  <c r="F243" i="1"/>
  <c r="G235" i="1"/>
  <c r="F235" i="1"/>
  <c r="G223" i="1"/>
  <c r="F223" i="1"/>
  <c r="G203" i="1"/>
  <c r="F203" i="1"/>
  <c r="G366" i="1"/>
  <c r="F366" i="1"/>
  <c r="G362" i="1"/>
  <c r="F362" i="1"/>
  <c r="G358" i="1"/>
  <c r="F358" i="1"/>
  <c r="G354" i="1"/>
  <c r="F354" i="1"/>
  <c r="G350" i="1"/>
  <c r="F350" i="1"/>
  <c r="G346" i="1"/>
  <c r="F346" i="1"/>
  <c r="G342" i="1"/>
  <c r="F342" i="1"/>
  <c r="G338" i="1"/>
  <c r="F338" i="1"/>
  <c r="G334" i="1"/>
  <c r="F334" i="1"/>
  <c r="G330" i="1"/>
  <c r="F330" i="1"/>
  <c r="G326" i="1"/>
  <c r="F326" i="1"/>
  <c r="G322" i="1"/>
  <c r="F322" i="1"/>
  <c r="G318" i="1"/>
  <c r="F318" i="1"/>
  <c r="G314" i="1"/>
  <c r="F314" i="1"/>
  <c r="G310" i="1"/>
  <c r="F310" i="1"/>
  <c r="G306" i="1"/>
  <c r="F306" i="1"/>
  <c r="G302" i="1"/>
  <c r="F302" i="1"/>
  <c r="G298" i="1"/>
  <c r="F298" i="1"/>
  <c r="G294" i="1"/>
  <c r="F294" i="1"/>
  <c r="G290" i="1"/>
  <c r="F290" i="1"/>
  <c r="G286" i="1"/>
  <c r="F286" i="1"/>
  <c r="G282" i="1"/>
  <c r="F282" i="1"/>
  <c r="G278" i="1"/>
  <c r="F278" i="1"/>
  <c r="G274" i="1"/>
  <c r="F274" i="1"/>
  <c r="G270" i="1"/>
  <c r="F270" i="1"/>
  <c r="G266" i="1"/>
  <c r="F266" i="1"/>
  <c r="G262" i="1"/>
  <c r="F262" i="1"/>
  <c r="G258" i="1"/>
  <c r="F258" i="1"/>
  <c r="G254" i="1"/>
  <c r="F254" i="1"/>
  <c r="G250" i="1"/>
  <c r="F250" i="1"/>
  <c r="G246" i="1"/>
  <c r="F246" i="1"/>
  <c r="G242" i="1"/>
  <c r="F242" i="1"/>
  <c r="G238" i="1"/>
  <c r="F238" i="1"/>
  <c r="G234" i="1"/>
  <c r="F234" i="1"/>
  <c r="G230" i="1"/>
  <c r="F230" i="1"/>
  <c r="G226" i="1"/>
  <c r="F226" i="1"/>
  <c r="G222" i="1"/>
  <c r="F222" i="1"/>
  <c r="G218" i="1"/>
  <c r="F218" i="1"/>
  <c r="G214" i="1"/>
  <c r="F214" i="1"/>
  <c r="G210" i="1"/>
  <c r="F210" i="1"/>
  <c r="G206" i="1"/>
  <c r="F206" i="1"/>
  <c r="G202" i="1"/>
  <c r="F202" i="1"/>
  <c r="G198" i="1"/>
  <c r="F198" i="1"/>
  <c r="G194" i="1"/>
  <c r="F194" i="1"/>
  <c r="G190" i="1"/>
  <c r="F190" i="1"/>
  <c r="G186" i="1"/>
  <c r="F186" i="1"/>
  <c r="G182" i="1"/>
  <c r="F182" i="1"/>
  <c r="G178" i="1"/>
  <c r="F178" i="1"/>
  <c r="G174" i="1"/>
  <c r="F174" i="1"/>
  <c r="G170" i="1"/>
  <c r="F170" i="1"/>
  <c r="G166" i="1"/>
  <c r="F166" i="1"/>
  <c r="G162" i="1"/>
  <c r="F162" i="1"/>
  <c r="G158" i="1"/>
  <c r="F158" i="1"/>
  <c r="G154" i="1"/>
  <c r="F154" i="1"/>
  <c r="G150" i="1"/>
  <c r="F150" i="1"/>
  <c r="G146" i="1"/>
  <c r="F146" i="1"/>
  <c r="G142" i="1"/>
  <c r="F142" i="1"/>
  <c r="G138" i="1"/>
  <c r="F138" i="1"/>
  <c r="G134" i="1"/>
  <c r="F134" i="1"/>
  <c r="G130" i="1"/>
  <c r="F130" i="1"/>
  <c r="G126" i="1"/>
  <c r="F126" i="1"/>
  <c r="G122" i="1"/>
  <c r="F122" i="1"/>
  <c r="G118" i="1"/>
  <c r="F118" i="1"/>
  <c r="G114" i="1"/>
  <c r="F114" i="1"/>
  <c r="G110" i="1"/>
  <c r="F110" i="1"/>
  <c r="G106" i="1"/>
  <c r="F106" i="1"/>
  <c r="G102" i="1"/>
  <c r="F102" i="1"/>
  <c r="G98" i="1"/>
  <c r="F98" i="1"/>
  <c r="G94" i="1"/>
  <c r="F94" i="1"/>
  <c r="G90" i="1"/>
  <c r="F90" i="1"/>
  <c r="G86" i="1"/>
  <c r="F86" i="1"/>
  <c r="G82" i="1"/>
  <c r="F82" i="1"/>
  <c r="G78" i="1"/>
  <c r="F78" i="1"/>
  <c r="G74" i="1"/>
  <c r="F74" i="1"/>
  <c r="G70" i="1"/>
  <c r="F70" i="1"/>
  <c r="G66" i="1"/>
  <c r="F66" i="1"/>
  <c r="G62" i="1"/>
  <c r="F62" i="1"/>
  <c r="G58" i="1"/>
  <c r="F58" i="1"/>
  <c r="G54" i="1"/>
  <c r="F54" i="1"/>
  <c r="G50" i="1"/>
  <c r="F50" i="1"/>
  <c r="G46" i="1"/>
  <c r="F46" i="1"/>
  <c r="G42" i="1"/>
  <c r="F42" i="1"/>
  <c r="G38" i="1"/>
  <c r="F38" i="1"/>
  <c r="G34" i="1"/>
  <c r="F34" i="1"/>
  <c r="G30" i="1"/>
  <c r="F30" i="1"/>
  <c r="G26" i="1"/>
  <c r="F26" i="1"/>
  <c r="G22" i="1"/>
  <c r="F22" i="1"/>
  <c r="G18" i="1"/>
  <c r="F18" i="1"/>
  <c r="G14" i="1"/>
  <c r="F14" i="1"/>
  <c r="G10" i="1"/>
  <c r="F10" i="1"/>
  <c r="G12" i="1"/>
  <c r="F12" i="1"/>
  <c r="G352" i="1"/>
  <c r="F352" i="1"/>
  <c r="G336" i="1"/>
  <c r="F336" i="1"/>
  <c r="G320" i="1"/>
  <c r="F320" i="1"/>
  <c r="G304" i="1"/>
  <c r="F304" i="1"/>
  <c r="G288" i="1"/>
  <c r="F288" i="1"/>
  <c r="G272" i="1"/>
  <c r="F272" i="1"/>
  <c r="G256" i="1"/>
  <c r="F256" i="1"/>
  <c r="G240" i="1"/>
  <c r="F240" i="1"/>
  <c r="G224" i="1"/>
  <c r="F224" i="1"/>
  <c r="G208" i="1"/>
  <c r="F208" i="1"/>
  <c r="G192" i="1"/>
  <c r="F192" i="1"/>
  <c r="G176" i="1"/>
  <c r="F176" i="1"/>
  <c r="G160" i="1"/>
  <c r="F160" i="1"/>
  <c r="G144" i="1"/>
  <c r="F144" i="1"/>
  <c r="G128" i="1"/>
  <c r="F128" i="1"/>
  <c r="G112" i="1"/>
  <c r="F112" i="1"/>
  <c r="G96" i="1"/>
  <c r="F96" i="1"/>
  <c r="G80" i="1"/>
  <c r="F80" i="1"/>
  <c r="G64" i="1"/>
  <c r="F64" i="1"/>
  <c r="G48" i="1"/>
  <c r="F48" i="1"/>
  <c r="G32" i="1"/>
  <c r="F32" i="1"/>
  <c r="G16" i="1"/>
  <c r="F16" i="1"/>
  <c r="G344" i="1"/>
  <c r="F344" i="1"/>
  <c r="G296" i="1"/>
  <c r="F296" i="1"/>
  <c r="G264" i="1"/>
  <c r="F264" i="1"/>
  <c r="G216" i="1"/>
  <c r="F216" i="1"/>
  <c r="G168" i="1"/>
  <c r="F168" i="1"/>
  <c r="G136" i="1"/>
  <c r="F136" i="1"/>
  <c r="G104" i="1"/>
  <c r="F104" i="1"/>
  <c r="G56" i="1"/>
  <c r="F56" i="1"/>
  <c r="G24" i="1"/>
  <c r="F24" i="1"/>
  <c r="G345" i="1"/>
  <c r="F345" i="1"/>
  <c r="G5" i="1"/>
  <c r="F5" i="1"/>
  <c r="G355" i="1"/>
  <c r="F355" i="1"/>
  <c r="G343" i="1"/>
  <c r="F343" i="1"/>
  <c r="G331" i="1"/>
  <c r="F331" i="1"/>
  <c r="G323" i="1"/>
  <c r="F323" i="1"/>
  <c r="G311" i="1"/>
  <c r="F311" i="1"/>
  <c r="G7" i="1"/>
  <c r="F7" i="1"/>
  <c r="G317" i="1"/>
  <c r="F317" i="1"/>
  <c r="G313" i="1"/>
  <c r="F313" i="1"/>
  <c r="G309" i="1"/>
  <c r="F309" i="1"/>
  <c r="G305" i="1"/>
  <c r="F305" i="1"/>
  <c r="G301" i="1"/>
  <c r="F301" i="1"/>
  <c r="G297" i="1"/>
  <c r="F297" i="1"/>
  <c r="G293" i="1"/>
  <c r="F293" i="1"/>
  <c r="G289" i="1"/>
  <c r="F289" i="1"/>
  <c r="G285" i="1"/>
  <c r="F285" i="1"/>
  <c r="G281" i="1"/>
  <c r="F281" i="1"/>
  <c r="G277" i="1"/>
  <c r="F277" i="1"/>
  <c r="G273" i="1"/>
  <c r="F273" i="1"/>
  <c r="G269" i="1"/>
  <c r="F269" i="1"/>
  <c r="G265" i="1"/>
  <c r="F265" i="1"/>
  <c r="G261" i="1"/>
  <c r="F261" i="1"/>
  <c r="G257" i="1"/>
  <c r="F257" i="1"/>
  <c r="G253" i="1"/>
  <c r="F253" i="1"/>
  <c r="G249" i="1"/>
  <c r="F249" i="1"/>
  <c r="G245" i="1"/>
  <c r="F245" i="1"/>
  <c r="G241" i="1"/>
  <c r="F241" i="1"/>
  <c r="G237" i="1"/>
  <c r="F237" i="1"/>
  <c r="G233" i="1"/>
  <c r="F233" i="1"/>
  <c r="G229" i="1"/>
  <c r="F229" i="1"/>
  <c r="G225" i="1"/>
  <c r="F225" i="1"/>
  <c r="G221" i="1"/>
  <c r="F221" i="1"/>
  <c r="G217" i="1"/>
  <c r="F217" i="1"/>
  <c r="G213" i="1"/>
  <c r="F213" i="1"/>
  <c r="G209" i="1"/>
  <c r="F209" i="1"/>
  <c r="G205" i="1"/>
  <c r="F205" i="1"/>
  <c r="G201" i="1"/>
  <c r="F201" i="1"/>
  <c r="G197" i="1"/>
  <c r="F197" i="1"/>
  <c r="G193" i="1"/>
  <c r="F193" i="1"/>
  <c r="G189" i="1"/>
  <c r="F189" i="1"/>
  <c r="G185" i="1"/>
  <c r="F185" i="1"/>
  <c r="G181" i="1"/>
  <c r="F181" i="1"/>
  <c r="G177" i="1"/>
  <c r="F177" i="1"/>
  <c r="G173" i="1"/>
  <c r="F173" i="1"/>
  <c r="G169" i="1"/>
  <c r="F169" i="1"/>
  <c r="G165" i="1"/>
  <c r="F165" i="1"/>
  <c r="G161" i="1"/>
  <c r="F161" i="1"/>
  <c r="G157" i="1"/>
  <c r="F157" i="1"/>
  <c r="G153" i="1"/>
  <c r="F153" i="1"/>
  <c r="G149" i="1"/>
  <c r="F149" i="1"/>
  <c r="G145" i="1"/>
  <c r="F145" i="1"/>
  <c r="G141" i="1"/>
  <c r="F141" i="1"/>
  <c r="G137" i="1"/>
  <c r="F137" i="1"/>
  <c r="G133" i="1"/>
  <c r="F133" i="1"/>
  <c r="G129" i="1"/>
  <c r="F129" i="1"/>
  <c r="G125" i="1"/>
  <c r="F125" i="1"/>
  <c r="G121" i="1"/>
  <c r="F121" i="1"/>
  <c r="G117" i="1"/>
  <c r="F117" i="1"/>
  <c r="G113" i="1"/>
  <c r="F113" i="1"/>
  <c r="G109" i="1"/>
  <c r="F109" i="1"/>
  <c r="G105" i="1"/>
  <c r="F105" i="1"/>
  <c r="G101" i="1"/>
  <c r="F101" i="1"/>
  <c r="G97" i="1"/>
  <c r="F97" i="1"/>
  <c r="G93" i="1"/>
  <c r="F93" i="1"/>
  <c r="G89" i="1"/>
  <c r="F89" i="1"/>
  <c r="G85" i="1"/>
  <c r="F85" i="1"/>
  <c r="G81" i="1"/>
  <c r="F81" i="1"/>
  <c r="G77" i="1"/>
  <c r="F77" i="1"/>
  <c r="G73" i="1"/>
  <c r="F73" i="1"/>
  <c r="G69" i="1"/>
  <c r="F69" i="1"/>
  <c r="G65" i="1"/>
  <c r="F65" i="1"/>
  <c r="G61" i="1"/>
  <c r="F61" i="1"/>
  <c r="G57" i="1"/>
  <c r="F57" i="1"/>
  <c r="G53" i="1"/>
  <c r="F53" i="1"/>
  <c r="G49" i="1"/>
  <c r="F49" i="1"/>
  <c r="G45" i="1"/>
  <c r="F45" i="1"/>
  <c r="G41" i="1"/>
  <c r="F41" i="1"/>
  <c r="G37" i="1"/>
  <c r="F37" i="1"/>
  <c r="G33" i="1"/>
  <c r="F33" i="1"/>
  <c r="G29" i="1"/>
  <c r="F29" i="1"/>
  <c r="G25" i="1"/>
  <c r="F25" i="1"/>
  <c r="G21" i="1"/>
  <c r="F21" i="1"/>
  <c r="G17" i="1"/>
  <c r="F17" i="1"/>
  <c r="G13" i="1"/>
  <c r="F13" i="1"/>
  <c r="G9" i="1"/>
  <c r="F9" i="1"/>
  <c r="G364" i="1"/>
  <c r="F364" i="1"/>
  <c r="G348" i="1"/>
  <c r="F348" i="1"/>
  <c r="G332" i="1"/>
  <c r="F332" i="1"/>
  <c r="G316" i="1"/>
  <c r="F316" i="1"/>
  <c r="G300" i="1"/>
  <c r="F300" i="1"/>
  <c r="G284" i="1"/>
  <c r="F284" i="1"/>
  <c r="G268" i="1"/>
  <c r="F268" i="1"/>
  <c r="G252" i="1"/>
  <c r="F252" i="1"/>
  <c r="G236" i="1"/>
  <c r="F236" i="1"/>
  <c r="G220" i="1"/>
  <c r="F220" i="1"/>
  <c r="G204" i="1"/>
  <c r="F204" i="1"/>
  <c r="G188" i="1"/>
  <c r="F188" i="1"/>
  <c r="G172" i="1"/>
  <c r="F172" i="1"/>
  <c r="G156" i="1"/>
  <c r="F156" i="1"/>
  <c r="G140" i="1"/>
  <c r="F140" i="1"/>
  <c r="G124" i="1"/>
  <c r="F124" i="1"/>
  <c r="G108" i="1"/>
  <c r="F108" i="1"/>
  <c r="G92" i="1"/>
  <c r="F92" i="1"/>
  <c r="G76" i="1"/>
  <c r="F76" i="1"/>
  <c r="G60" i="1"/>
  <c r="F60" i="1"/>
  <c r="G44" i="1"/>
  <c r="F44" i="1"/>
  <c r="G28" i="1"/>
  <c r="F28" i="1"/>
  <c r="K8" i="1"/>
  <c r="G3" i="1"/>
  <c r="G5" i="9"/>
  <c r="F5" i="9"/>
  <c r="G7" i="3"/>
  <c r="F7" i="3"/>
  <c r="K10" i="2"/>
  <c r="K11" i="2" s="1"/>
  <c r="C9" i="3"/>
  <c r="D8" i="3"/>
  <c r="E8" i="3" s="1"/>
  <c r="K9" i="2"/>
  <c r="D6" i="9"/>
  <c r="E6" i="9" s="1"/>
  <c r="C7" i="9"/>
  <c r="F4" i="1"/>
  <c r="F3" i="1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X19" i="5"/>
  <c r="A19" i="5"/>
  <c r="X18" i="5"/>
  <c r="A18" i="5"/>
  <c r="X17" i="5"/>
  <c r="A17" i="5"/>
  <c r="X16" i="5"/>
  <c r="A16" i="5"/>
  <c r="X15" i="5"/>
  <c r="A15" i="5"/>
  <c r="X14" i="5"/>
  <c r="A14" i="5"/>
  <c r="X13" i="5"/>
  <c r="A13" i="5"/>
  <c r="X12" i="5"/>
  <c r="A12" i="5"/>
  <c r="X11" i="5"/>
  <c r="A11" i="5"/>
  <c r="X10" i="5"/>
  <c r="A10" i="5"/>
  <c r="X9" i="5"/>
  <c r="A9" i="5"/>
  <c r="X8" i="5"/>
  <c r="A8" i="5"/>
  <c r="A7" i="5"/>
  <c r="A6" i="5"/>
  <c r="A5" i="5"/>
  <c r="A4" i="5"/>
  <c r="A3" i="5"/>
  <c r="A2" i="5"/>
  <c r="W8" i="5" s="1"/>
  <c r="C8" i="9" l="1"/>
  <c r="D7" i="9"/>
  <c r="E7" i="9" s="1"/>
  <c r="G8" i="3"/>
  <c r="F8" i="3"/>
  <c r="K10" i="1"/>
  <c r="K11" i="1" s="1"/>
  <c r="K9" i="1"/>
  <c r="F6" i="9"/>
  <c r="G6" i="9"/>
  <c r="C10" i="3"/>
  <c r="D9" i="3"/>
  <c r="E9" i="3" s="1"/>
  <c r="W16" i="5"/>
  <c r="Y16" i="5" s="1"/>
  <c r="K257" i="5" s="1"/>
  <c r="F257" i="5" s="1"/>
  <c r="G257" i="5" s="1"/>
  <c r="H257" i="5" s="1"/>
  <c r="K277" i="5"/>
  <c r="F277" i="5" s="1"/>
  <c r="G277" i="5" s="1"/>
  <c r="H277" i="5" s="1"/>
  <c r="K251" i="5"/>
  <c r="F251" i="5" s="1"/>
  <c r="G251" i="5" s="1"/>
  <c r="H251" i="5" s="1"/>
  <c r="K299" i="5"/>
  <c r="F299" i="5" s="1"/>
  <c r="G299" i="5" s="1"/>
  <c r="H299" i="5" s="1"/>
  <c r="K12" i="5"/>
  <c r="F12" i="5" s="1"/>
  <c r="G12" i="5" s="1"/>
  <c r="H12" i="5" s="1"/>
  <c r="K252" i="5"/>
  <c r="F252" i="5" s="1"/>
  <c r="G252" i="5" s="1"/>
  <c r="H252" i="5" s="1"/>
  <c r="K276" i="5"/>
  <c r="F276" i="5" s="1"/>
  <c r="G276" i="5" s="1"/>
  <c r="H276" i="5" s="1"/>
  <c r="W11" i="5"/>
  <c r="Y11" i="5" s="1"/>
  <c r="K121" i="5" s="1"/>
  <c r="F121" i="5" s="1"/>
  <c r="G121" i="5" s="1"/>
  <c r="H121" i="5" s="1"/>
  <c r="W15" i="5"/>
  <c r="Y15" i="5" s="1"/>
  <c r="K222" i="5" s="1"/>
  <c r="F222" i="5" s="1"/>
  <c r="G222" i="5" s="1"/>
  <c r="H222" i="5" s="1"/>
  <c r="W17" i="5"/>
  <c r="Y17" i="5" s="1"/>
  <c r="K305" i="5" s="1"/>
  <c r="F305" i="5" s="1"/>
  <c r="G305" i="5" s="1"/>
  <c r="H305" i="5" s="1"/>
  <c r="Y8" i="5"/>
  <c r="K25" i="5" s="1"/>
  <c r="F25" i="5" s="1"/>
  <c r="G25" i="5" s="1"/>
  <c r="H25" i="5" s="1"/>
  <c r="W13" i="5"/>
  <c r="Y13" i="5" s="1"/>
  <c r="K161" i="5" s="1"/>
  <c r="F161" i="5" s="1"/>
  <c r="G161" i="5" s="1"/>
  <c r="H161" i="5" s="1"/>
  <c r="W18" i="5"/>
  <c r="Y18" i="5" s="1"/>
  <c r="K318" i="5" s="1"/>
  <c r="F318" i="5" s="1"/>
  <c r="G318" i="5" s="1"/>
  <c r="H318" i="5" s="1"/>
  <c r="W10" i="5"/>
  <c r="Y10" i="5" s="1"/>
  <c r="K73" i="5" s="1"/>
  <c r="F73" i="5" s="1"/>
  <c r="G73" i="5" s="1"/>
  <c r="H73" i="5" s="1"/>
  <c r="W14" i="5"/>
  <c r="Y14" i="5" s="1"/>
  <c r="K209" i="5" s="1"/>
  <c r="F209" i="5" s="1"/>
  <c r="G209" i="5" s="1"/>
  <c r="H209" i="5" s="1"/>
  <c r="W19" i="5"/>
  <c r="Y19" i="5" s="1"/>
  <c r="K345" i="5" s="1"/>
  <c r="F345" i="5" s="1"/>
  <c r="G345" i="5" s="1"/>
  <c r="H345" i="5" s="1"/>
  <c r="W9" i="5"/>
  <c r="Y9" i="5" s="1"/>
  <c r="K46" i="5" s="1"/>
  <c r="F46" i="5" s="1"/>
  <c r="G46" i="5" s="1"/>
  <c r="H46" i="5" s="1"/>
  <c r="W12" i="5"/>
  <c r="Y12" i="5" s="1"/>
  <c r="K126" i="5" s="1"/>
  <c r="F126" i="5" s="1"/>
  <c r="G126" i="5" s="1"/>
  <c r="H126" i="5" s="1"/>
  <c r="K364" i="5" l="1"/>
  <c r="F364" i="5" s="1"/>
  <c r="G364" i="5" s="1"/>
  <c r="H364" i="5" s="1"/>
  <c r="K300" i="5"/>
  <c r="F300" i="5" s="1"/>
  <c r="G300" i="5" s="1"/>
  <c r="H300" i="5" s="1"/>
  <c r="K268" i="5"/>
  <c r="F268" i="5" s="1"/>
  <c r="G268" i="5" s="1"/>
  <c r="H268" i="5" s="1"/>
  <c r="K212" i="5"/>
  <c r="F212" i="5" s="1"/>
  <c r="G212" i="5" s="1"/>
  <c r="H212" i="5" s="1"/>
  <c r="K164" i="5"/>
  <c r="F164" i="5" s="1"/>
  <c r="G164" i="5" s="1"/>
  <c r="H164" i="5" s="1"/>
  <c r="K116" i="5"/>
  <c r="F116" i="5" s="1"/>
  <c r="G116" i="5" s="1"/>
  <c r="H116" i="5" s="1"/>
  <c r="K84" i="5"/>
  <c r="F84" i="5" s="1"/>
  <c r="G84" i="5" s="1"/>
  <c r="H84" i="5" s="1"/>
  <c r="K297" i="5"/>
  <c r="F297" i="5" s="1"/>
  <c r="G297" i="5" s="1"/>
  <c r="H297" i="5" s="1"/>
  <c r="K105" i="5"/>
  <c r="F105" i="5" s="1"/>
  <c r="G105" i="5" s="1"/>
  <c r="H105" i="5" s="1"/>
  <c r="K283" i="5"/>
  <c r="F283" i="5" s="1"/>
  <c r="G283" i="5" s="1"/>
  <c r="H283" i="5" s="1"/>
  <c r="K171" i="5"/>
  <c r="F171" i="5" s="1"/>
  <c r="G171" i="5" s="1"/>
  <c r="H171" i="5" s="1"/>
  <c r="K107" i="5"/>
  <c r="F107" i="5" s="1"/>
  <c r="G107" i="5" s="1"/>
  <c r="H107" i="5" s="1"/>
  <c r="K249" i="5"/>
  <c r="F249" i="5" s="1"/>
  <c r="G249" i="5" s="1"/>
  <c r="H249" i="5" s="1"/>
  <c r="K362" i="5"/>
  <c r="F362" i="5" s="1"/>
  <c r="G362" i="5" s="1"/>
  <c r="H362" i="5" s="1"/>
  <c r="K266" i="5"/>
  <c r="F266" i="5" s="1"/>
  <c r="G266" i="5" s="1"/>
  <c r="H266" i="5" s="1"/>
  <c r="K106" i="5"/>
  <c r="F106" i="5" s="1"/>
  <c r="G106" i="5" s="1"/>
  <c r="H106" i="5" s="1"/>
  <c r="K293" i="5"/>
  <c r="F293" i="5" s="1"/>
  <c r="G293" i="5" s="1"/>
  <c r="H293" i="5" s="1"/>
  <c r="F9" i="3"/>
  <c r="K9" i="3" s="1"/>
  <c r="G9" i="3"/>
  <c r="K356" i="5"/>
  <c r="F356" i="5" s="1"/>
  <c r="G356" i="5" s="1"/>
  <c r="H356" i="5" s="1"/>
  <c r="K292" i="5"/>
  <c r="F292" i="5" s="1"/>
  <c r="G292" i="5" s="1"/>
  <c r="H292" i="5" s="1"/>
  <c r="K264" i="5"/>
  <c r="F264" i="5" s="1"/>
  <c r="G264" i="5" s="1"/>
  <c r="H264" i="5" s="1"/>
  <c r="K196" i="5"/>
  <c r="F196" i="5" s="1"/>
  <c r="G196" i="5" s="1"/>
  <c r="H196" i="5" s="1"/>
  <c r="K156" i="5"/>
  <c r="F156" i="5" s="1"/>
  <c r="G156" i="5" s="1"/>
  <c r="H156" i="5" s="1"/>
  <c r="K108" i="5"/>
  <c r="F108" i="5" s="1"/>
  <c r="G108" i="5" s="1"/>
  <c r="H108" i="5" s="1"/>
  <c r="K68" i="5"/>
  <c r="F68" i="5" s="1"/>
  <c r="G68" i="5" s="1"/>
  <c r="H68" i="5" s="1"/>
  <c r="K273" i="5"/>
  <c r="F273" i="5" s="1"/>
  <c r="G273" i="5" s="1"/>
  <c r="H273" i="5" s="1"/>
  <c r="K363" i="5"/>
  <c r="F363" i="5" s="1"/>
  <c r="G363" i="5" s="1"/>
  <c r="H363" i="5" s="1"/>
  <c r="K267" i="5"/>
  <c r="F267" i="5" s="1"/>
  <c r="G267" i="5" s="1"/>
  <c r="H267" i="5" s="1"/>
  <c r="K155" i="5"/>
  <c r="F155" i="5" s="1"/>
  <c r="G155" i="5" s="1"/>
  <c r="H155" i="5" s="1"/>
  <c r="K91" i="5"/>
  <c r="F91" i="5" s="1"/>
  <c r="G91" i="5" s="1"/>
  <c r="H91" i="5" s="1"/>
  <c r="K181" i="5"/>
  <c r="F181" i="5" s="1"/>
  <c r="G181" i="5" s="1"/>
  <c r="H181" i="5" s="1"/>
  <c r="K346" i="5"/>
  <c r="F346" i="5" s="1"/>
  <c r="G346" i="5" s="1"/>
  <c r="H346" i="5" s="1"/>
  <c r="K250" i="5"/>
  <c r="F250" i="5" s="1"/>
  <c r="G250" i="5" s="1"/>
  <c r="H250" i="5" s="1"/>
  <c r="K90" i="5"/>
  <c r="F90" i="5" s="1"/>
  <c r="G90" i="5" s="1"/>
  <c r="H90" i="5" s="1"/>
  <c r="K245" i="5"/>
  <c r="F245" i="5" s="1"/>
  <c r="G245" i="5" s="1"/>
  <c r="H245" i="5" s="1"/>
  <c r="C11" i="3"/>
  <c r="D10" i="3"/>
  <c r="E10" i="3" s="1"/>
  <c r="F7" i="9"/>
  <c r="G7" i="9"/>
  <c r="K348" i="5"/>
  <c r="F348" i="5" s="1"/>
  <c r="G348" i="5" s="1"/>
  <c r="H348" i="5" s="1"/>
  <c r="K284" i="5"/>
  <c r="F284" i="5" s="1"/>
  <c r="G284" i="5" s="1"/>
  <c r="H284" i="5" s="1"/>
  <c r="K260" i="5"/>
  <c r="F260" i="5" s="1"/>
  <c r="G260" i="5" s="1"/>
  <c r="H260" i="5" s="1"/>
  <c r="K180" i="5"/>
  <c r="F180" i="5" s="1"/>
  <c r="G180" i="5" s="1"/>
  <c r="H180" i="5" s="1"/>
  <c r="K148" i="5"/>
  <c r="F148" i="5" s="1"/>
  <c r="G148" i="5" s="1"/>
  <c r="H148" i="5" s="1"/>
  <c r="K100" i="5"/>
  <c r="F100" i="5" s="1"/>
  <c r="G100" i="5" s="1"/>
  <c r="H100" i="5" s="1"/>
  <c r="K20" i="5"/>
  <c r="F20" i="5" s="1"/>
  <c r="G20" i="5" s="1"/>
  <c r="H20" i="5" s="1"/>
  <c r="K253" i="5"/>
  <c r="F253" i="5" s="1"/>
  <c r="G253" i="5" s="1"/>
  <c r="H253" i="5" s="1"/>
  <c r="K347" i="5"/>
  <c r="F347" i="5" s="1"/>
  <c r="G347" i="5" s="1"/>
  <c r="H347" i="5" s="1"/>
  <c r="K259" i="5"/>
  <c r="F259" i="5" s="1"/>
  <c r="G259" i="5" s="1"/>
  <c r="H259" i="5" s="1"/>
  <c r="K139" i="5"/>
  <c r="F139" i="5" s="1"/>
  <c r="G139" i="5" s="1"/>
  <c r="H139" i="5" s="1"/>
  <c r="K75" i="5"/>
  <c r="F75" i="5" s="1"/>
  <c r="G75" i="5" s="1"/>
  <c r="H75" i="5" s="1"/>
  <c r="K81" i="5"/>
  <c r="F81" i="5" s="1"/>
  <c r="G81" i="5" s="1"/>
  <c r="H81" i="5" s="1"/>
  <c r="K298" i="5"/>
  <c r="F298" i="5" s="1"/>
  <c r="G298" i="5" s="1"/>
  <c r="H298" i="5" s="1"/>
  <c r="K170" i="5"/>
  <c r="F170" i="5" s="1"/>
  <c r="G170" i="5" s="1"/>
  <c r="H170" i="5" s="1"/>
  <c r="K74" i="5"/>
  <c r="F74" i="5" s="1"/>
  <c r="G74" i="5" s="1"/>
  <c r="H74" i="5" s="1"/>
  <c r="K109" i="5"/>
  <c r="F109" i="5" s="1"/>
  <c r="G109" i="5" s="1"/>
  <c r="H109" i="5" s="1"/>
  <c r="C9" i="9"/>
  <c r="D8" i="9"/>
  <c r="E8" i="9" s="1"/>
  <c r="K340" i="5"/>
  <c r="F340" i="5" s="1"/>
  <c r="G340" i="5" s="1"/>
  <c r="H340" i="5" s="1"/>
  <c r="K172" i="5"/>
  <c r="F172" i="5" s="1"/>
  <c r="G172" i="5" s="1"/>
  <c r="H172" i="5" s="1"/>
  <c r="K132" i="5"/>
  <c r="F132" i="5" s="1"/>
  <c r="G132" i="5" s="1"/>
  <c r="H132" i="5" s="1"/>
  <c r="K92" i="5"/>
  <c r="F92" i="5" s="1"/>
  <c r="G92" i="5" s="1"/>
  <c r="H92" i="5" s="1"/>
  <c r="K153" i="5"/>
  <c r="F153" i="5" s="1"/>
  <c r="G153" i="5" s="1"/>
  <c r="H153" i="5" s="1"/>
  <c r="K123" i="5"/>
  <c r="F123" i="5" s="1"/>
  <c r="G123" i="5" s="1"/>
  <c r="H123" i="5" s="1"/>
  <c r="K282" i="5"/>
  <c r="F282" i="5" s="1"/>
  <c r="G282" i="5" s="1"/>
  <c r="H282" i="5" s="1"/>
  <c r="K154" i="5"/>
  <c r="F154" i="5" s="1"/>
  <c r="G154" i="5" s="1"/>
  <c r="H154" i="5" s="1"/>
  <c r="K357" i="5"/>
  <c r="F357" i="5" s="1"/>
  <c r="G357" i="5" s="1"/>
  <c r="H357" i="5" s="1"/>
  <c r="K7" i="5"/>
  <c r="F7" i="5" s="1"/>
  <c r="G7" i="5" s="1"/>
  <c r="H7" i="5" s="1"/>
  <c r="K27" i="5"/>
  <c r="F27" i="5" s="1"/>
  <c r="G27" i="5" s="1"/>
  <c r="H27" i="5" s="1"/>
  <c r="J305" i="5"/>
  <c r="I305" i="5"/>
  <c r="I46" i="5"/>
  <c r="J46" i="5"/>
  <c r="J318" i="5"/>
  <c r="I318" i="5"/>
  <c r="J222" i="5"/>
  <c r="I222" i="5"/>
  <c r="I126" i="5"/>
  <c r="J126" i="5"/>
  <c r="J257" i="5"/>
  <c r="I257" i="5"/>
  <c r="J161" i="5"/>
  <c r="I161" i="5"/>
  <c r="J121" i="5"/>
  <c r="I121" i="5"/>
  <c r="J73" i="5"/>
  <c r="I73" i="5"/>
  <c r="J345" i="5"/>
  <c r="I345" i="5"/>
  <c r="J209" i="5"/>
  <c r="I209" i="5"/>
  <c r="J25" i="5"/>
  <c r="I25" i="5"/>
  <c r="J340" i="5"/>
  <c r="I340" i="5"/>
  <c r="K308" i="5"/>
  <c r="F308" i="5" s="1"/>
  <c r="G308" i="5" s="1"/>
  <c r="H308" i="5" s="1"/>
  <c r="J260" i="5"/>
  <c r="I260" i="5"/>
  <c r="K228" i="5"/>
  <c r="F228" i="5" s="1"/>
  <c r="G228" i="5" s="1"/>
  <c r="H228" i="5" s="1"/>
  <c r="J180" i="5"/>
  <c r="I180" i="5"/>
  <c r="J148" i="5"/>
  <c r="I148" i="5"/>
  <c r="J100" i="5"/>
  <c r="I100" i="5"/>
  <c r="J68" i="5"/>
  <c r="I68" i="5"/>
  <c r="K36" i="5"/>
  <c r="F36" i="5" s="1"/>
  <c r="G36" i="5" s="1"/>
  <c r="H36" i="5" s="1"/>
  <c r="J20" i="5"/>
  <c r="I20" i="5"/>
  <c r="J7" i="5"/>
  <c r="I7" i="5"/>
  <c r="J253" i="5"/>
  <c r="I253" i="5"/>
  <c r="J153" i="5"/>
  <c r="I153" i="5"/>
  <c r="K53" i="5"/>
  <c r="F53" i="5" s="1"/>
  <c r="G53" i="5" s="1"/>
  <c r="H53" i="5" s="1"/>
  <c r="I363" i="5"/>
  <c r="J363" i="5"/>
  <c r="K331" i="5"/>
  <c r="F331" i="5" s="1"/>
  <c r="G331" i="5" s="1"/>
  <c r="H331" i="5" s="1"/>
  <c r="K315" i="5"/>
  <c r="F315" i="5" s="1"/>
  <c r="G315" i="5" s="1"/>
  <c r="H315" i="5" s="1"/>
  <c r="J283" i="5"/>
  <c r="I283" i="5"/>
  <c r="J251" i="5"/>
  <c r="I251" i="5"/>
  <c r="K219" i="5"/>
  <c r="F219" i="5" s="1"/>
  <c r="G219" i="5" s="1"/>
  <c r="H219" i="5" s="1"/>
  <c r="K187" i="5"/>
  <c r="F187" i="5" s="1"/>
  <c r="G187" i="5" s="1"/>
  <c r="H187" i="5" s="1"/>
  <c r="J171" i="5"/>
  <c r="I171" i="5"/>
  <c r="J139" i="5"/>
  <c r="I139" i="5"/>
  <c r="J107" i="5"/>
  <c r="I107" i="5"/>
  <c r="J75" i="5"/>
  <c r="I75" i="5"/>
  <c r="K43" i="5"/>
  <c r="F43" i="5" s="1"/>
  <c r="G43" i="5" s="1"/>
  <c r="H43" i="5" s="1"/>
  <c r="J27" i="5"/>
  <c r="I27" i="5"/>
  <c r="K325" i="5"/>
  <c r="F325" i="5" s="1"/>
  <c r="G325" i="5" s="1"/>
  <c r="H325" i="5" s="1"/>
  <c r="K229" i="5"/>
  <c r="F229" i="5" s="1"/>
  <c r="G229" i="5" s="1"/>
  <c r="H229" i="5" s="1"/>
  <c r="J181" i="5"/>
  <c r="I181" i="5"/>
  <c r="K129" i="5"/>
  <c r="F129" i="5" s="1"/>
  <c r="G129" i="5" s="1"/>
  <c r="H129" i="5" s="1"/>
  <c r="J81" i="5"/>
  <c r="I81" i="5"/>
  <c r="K33" i="5"/>
  <c r="F33" i="5" s="1"/>
  <c r="G33" i="5" s="1"/>
  <c r="H33" i="5" s="1"/>
  <c r="J362" i="5"/>
  <c r="I362" i="5"/>
  <c r="J346" i="5"/>
  <c r="I346" i="5"/>
  <c r="K330" i="5"/>
  <c r="F330" i="5" s="1"/>
  <c r="G330" i="5" s="1"/>
  <c r="H330" i="5" s="1"/>
  <c r="K314" i="5"/>
  <c r="F314" i="5" s="1"/>
  <c r="G314" i="5" s="1"/>
  <c r="H314" i="5" s="1"/>
  <c r="J298" i="5"/>
  <c r="I298" i="5"/>
  <c r="I282" i="5"/>
  <c r="J282" i="5"/>
  <c r="J266" i="5"/>
  <c r="I266" i="5"/>
  <c r="I250" i="5"/>
  <c r="J250" i="5"/>
  <c r="K234" i="5"/>
  <c r="F234" i="5" s="1"/>
  <c r="G234" i="5" s="1"/>
  <c r="H234" i="5" s="1"/>
  <c r="K218" i="5"/>
  <c r="F218" i="5" s="1"/>
  <c r="G218" i="5" s="1"/>
  <c r="H218" i="5" s="1"/>
  <c r="K202" i="5"/>
  <c r="F202" i="5" s="1"/>
  <c r="G202" i="5" s="1"/>
  <c r="H202" i="5" s="1"/>
  <c r="K186" i="5"/>
  <c r="F186" i="5" s="1"/>
  <c r="G186" i="5" s="1"/>
  <c r="H186" i="5" s="1"/>
  <c r="J170" i="5"/>
  <c r="I170" i="5"/>
  <c r="I154" i="5"/>
  <c r="J154" i="5"/>
  <c r="K138" i="5"/>
  <c r="F138" i="5" s="1"/>
  <c r="G138" i="5" s="1"/>
  <c r="H138" i="5" s="1"/>
  <c r="K122" i="5"/>
  <c r="F122" i="5" s="1"/>
  <c r="G122" i="5" s="1"/>
  <c r="H122" i="5" s="1"/>
  <c r="I106" i="5"/>
  <c r="J106" i="5"/>
  <c r="I90" i="5"/>
  <c r="J90" i="5"/>
  <c r="I74" i="5"/>
  <c r="J74" i="5"/>
  <c r="K58" i="5"/>
  <c r="F58" i="5" s="1"/>
  <c r="G58" i="5" s="1"/>
  <c r="H58" i="5" s="1"/>
  <c r="K42" i="5"/>
  <c r="F42" i="5" s="1"/>
  <c r="G42" i="5" s="1"/>
  <c r="H42" i="5" s="1"/>
  <c r="K26" i="5"/>
  <c r="F26" i="5" s="1"/>
  <c r="G26" i="5" s="1"/>
  <c r="H26" i="5" s="1"/>
  <c r="K15" i="5"/>
  <c r="F15" i="5" s="1"/>
  <c r="G15" i="5" s="1"/>
  <c r="H15" i="5" s="1"/>
  <c r="K6" i="5"/>
  <c r="F6" i="5" s="1"/>
  <c r="G6" i="5" s="1"/>
  <c r="H6" i="5" s="1"/>
  <c r="J357" i="5"/>
  <c r="I357" i="5"/>
  <c r="K333" i="5"/>
  <c r="F333" i="5" s="1"/>
  <c r="G333" i="5" s="1"/>
  <c r="H333" i="5" s="1"/>
  <c r="J293" i="5"/>
  <c r="I293" i="5"/>
  <c r="J245" i="5"/>
  <c r="I245" i="5"/>
  <c r="K197" i="5"/>
  <c r="F197" i="5" s="1"/>
  <c r="G197" i="5" s="1"/>
  <c r="H197" i="5" s="1"/>
  <c r="K149" i="5"/>
  <c r="F149" i="5" s="1"/>
  <c r="G149" i="5" s="1"/>
  <c r="H149" i="5" s="1"/>
  <c r="J109" i="5"/>
  <c r="I109" i="5"/>
  <c r="K61" i="5"/>
  <c r="F61" i="5" s="1"/>
  <c r="G61" i="5" s="1"/>
  <c r="H61" i="5" s="1"/>
  <c r="K352" i="5"/>
  <c r="F352" i="5" s="1"/>
  <c r="G352" i="5" s="1"/>
  <c r="H352" i="5" s="1"/>
  <c r="K336" i="5"/>
  <c r="F336" i="5" s="1"/>
  <c r="G336" i="5" s="1"/>
  <c r="H336" i="5" s="1"/>
  <c r="K320" i="5"/>
  <c r="F320" i="5" s="1"/>
  <c r="G320" i="5" s="1"/>
  <c r="H320" i="5" s="1"/>
  <c r="K304" i="5"/>
  <c r="F304" i="5" s="1"/>
  <c r="G304" i="5" s="1"/>
  <c r="H304" i="5" s="1"/>
  <c r="K288" i="5"/>
  <c r="F288" i="5" s="1"/>
  <c r="G288" i="5" s="1"/>
  <c r="H288" i="5" s="1"/>
  <c r="K272" i="5"/>
  <c r="F272" i="5" s="1"/>
  <c r="G272" i="5" s="1"/>
  <c r="H272" i="5" s="1"/>
  <c r="K256" i="5"/>
  <c r="F256" i="5" s="1"/>
  <c r="G256" i="5" s="1"/>
  <c r="H256" i="5" s="1"/>
  <c r="K240" i="5"/>
  <c r="F240" i="5" s="1"/>
  <c r="G240" i="5" s="1"/>
  <c r="H240" i="5" s="1"/>
  <c r="K224" i="5"/>
  <c r="F224" i="5" s="1"/>
  <c r="G224" i="5" s="1"/>
  <c r="H224" i="5" s="1"/>
  <c r="K208" i="5"/>
  <c r="F208" i="5" s="1"/>
  <c r="G208" i="5" s="1"/>
  <c r="H208" i="5" s="1"/>
  <c r="K192" i="5"/>
  <c r="F192" i="5" s="1"/>
  <c r="G192" i="5" s="1"/>
  <c r="H192" i="5" s="1"/>
  <c r="K176" i="5"/>
  <c r="F176" i="5" s="1"/>
  <c r="G176" i="5" s="1"/>
  <c r="H176" i="5" s="1"/>
  <c r="K160" i="5"/>
  <c r="F160" i="5" s="1"/>
  <c r="G160" i="5" s="1"/>
  <c r="H160" i="5" s="1"/>
  <c r="K144" i="5"/>
  <c r="F144" i="5" s="1"/>
  <c r="G144" i="5" s="1"/>
  <c r="H144" i="5" s="1"/>
  <c r="K128" i="5"/>
  <c r="F128" i="5" s="1"/>
  <c r="G128" i="5" s="1"/>
  <c r="H128" i="5" s="1"/>
  <c r="K112" i="5"/>
  <c r="F112" i="5" s="1"/>
  <c r="G112" i="5" s="1"/>
  <c r="H112" i="5" s="1"/>
  <c r="K96" i="5"/>
  <c r="F96" i="5" s="1"/>
  <c r="G96" i="5" s="1"/>
  <c r="H96" i="5" s="1"/>
  <c r="K80" i="5"/>
  <c r="F80" i="5" s="1"/>
  <c r="G80" i="5" s="1"/>
  <c r="H80" i="5" s="1"/>
  <c r="K64" i="5"/>
  <c r="F64" i="5" s="1"/>
  <c r="G64" i="5" s="1"/>
  <c r="H64" i="5" s="1"/>
  <c r="K48" i="5"/>
  <c r="F48" i="5" s="1"/>
  <c r="G48" i="5" s="1"/>
  <c r="H48" i="5" s="1"/>
  <c r="K32" i="5"/>
  <c r="F32" i="5" s="1"/>
  <c r="G32" i="5" s="1"/>
  <c r="H32" i="5" s="1"/>
  <c r="K18" i="5"/>
  <c r="F18" i="5" s="1"/>
  <c r="G18" i="5" s="1"/>
  <c r="H18" i="5" s="1"/>
  <c r="K10" i="5"/>
  <c r="F10" i="5" s="1"/>
  <c r="G10" i="5" s="1"/>
  <c r="H10" i="5" s="1"/>
  <c r="K341" i="5"/>
  <c r="F341" i="5" s="1"/>
  <c r="G341" i="5" s="1"/>
  <c r="H341" i="5" s="1"/>
  <c r="K285" i="5"/>
  <c r="F285" i="5" s="1"/>
  <c r="G285" i="5" s="1"/>
  <c r="H285" i="5" s="1"/>
  <c r="K241" i="5"/>
  <c r="F241" i="5" s="1"/>
  <c r="G241" i="5" s="1"/>
  <c r="H241" i="5" s="1"/>
  <c r="K189" i="5"/>
  <c r="F189" i="5" s="1"/>
  <c r="G189" i="5" s="1"/>
  <c r="H189" i="5" s="1"/>
  <c r="K137" i="5"/>
  <c r="F137" i="5" s="1"/>
  <c r="G137" i="5" s="1"/>
  <c r="H137" i="5" s="1"/>
  <c r="K93" i="5"/>
  <c r="F93" i="5" s="1"/>
  <c r="G93" i="5" s="1"/>
  <c r="H93" i="5" s="1"/>
  <c r="K41" i="5"/>
  <c r="F41" i="5" s="1"/>
  <c r="G41" i="5" s="1"/>
  <c r="H41" i="5" s="1"/>
  <c r="K359" i="5"/>
  <c r="F359" i="5" s="1"/>
  <c r="G359" i="5" s="1"/>
  <c r="H359" i="5" s="1"/>
  <c r="K343" i="5"/>
  <c r="F343" i="5" s="1"/>
  <c r="G343" i="5" s="1"/>
  <c r="H343" i="5" s="1"/>
  <c r="K327" i="5"/>
  <c r="F327" i="5" s="1"/>
  <c r="G327" i="5" s="1"/>
  <c r="H327" i="5" s="1"/>
  <c r="K311" i="5"/>
  <c r="F311" i="5" s="1"/>
  <c r="G311" i="5" s="1"/>
  <c r="H311" i="5" s="1"/>
  <c r="K295" i="5"/>
  <c r="F295" i="5" s="1"/>
  <c r="G295" i="5" s="1"/>
  <c r="H295" i="5" s="1"/>
  <c r="K279" i="5"/>
  <c r="F279" i="5" s="1"/>
  <c r="G279" i="5" s="1"/>
  <c r="H279" i="5" s="1"/>
  <c r="K263" i="5"/>
  <c r="F263" i="5" s="1"/>
  <c r="G263" i="5" s="1"/>
  <c r="H263" i="5" s="1"/>
  <c r="K247" i="5"/>
  <c r="F247" i="5" s="1"/>
  <c r="G247" i="5" s="1"/>
  <c r="H247" i="5" s="1"/>
  <c r="K231" i="5"/>
  <c r="F231" i="5" s="1"/>
  <c r="G231" i="5" s="1"/>
  <c r="H231" i="5" s="1"/>
  <c r="K215" i="5"/>
  <c r="F215" i="5" s="1"/>
  <c r="G215" i="5" s="1"/>
  <c r="H215" i="5" s="1"/>
  <c r="K199" i="5"/>
  <c r="F199" i="5" s="1"/>
  <c r="G199" i="5" s="1"/>
  <c r="H199" i="5" s="1"/>
  <c r="K183" i="5"/>
  <c r="F183" i="5" s="1"/>
  <c r="G183" i="5" s="1"/>
  <c r="H183" i="5" s="1"/>
  <c r="K167" i="5"/>
  <c r="F167" i="5" s="1"/>
  <c r="G167" i="5" s="1"/>
  <c r="H167" i="5" s="1"/>
  <c r="K151" i="5"/>
  <c r="F151" i="5" s="1"/>
  <c r="G151" i="5" s="1"/>
  <c r="H151" i="5" s="1"/>
  <c r="K135" i="5"/>
  <c r="F135" i="5" s="1"/>
  <c r="G135" i="5" s="1"/>
  <c r="H135" i="5" s="1"/>
  <c r="K119" i="5"/>
  <c r="F119" i="5" s="1"/>
  <c r="G119" i="5" s="1"/>
  <c r="H119" i="5" s="1"/>
  <c r="K103" i="5"/>
  <c r="F103" i="5" s="1"/>
  <c r="G103" i="5" s="1"/>
  <c r="H103" i="5" s="1"/>
  <c r="K87" i="5"/>
  <c r="F87" i="5" s="1"/>
  <c r="G87" i="5" s="1"/>
  <c r="H87" i="5" s="1"/>
  <c r="K71" i="5"/>
  <c r="F71" i="5" s="1"/>
  <c r="G71" i="5" s="1"/>
  <c r="H71" i="5" s="1"/>
  <c r="K55" i="5"/>
  <c r="F55" i="5" s="1"/>
  <c r="G55" i="5" s="1"/>
  <c r="H55" i="5" s="1"/>
  <c r="K39" i="5"/>
  <c r="F39" i="5" s="1"/>
  <c r="G39" i="5" s="1"/>
  <c r="H39" i="5" s="1"/>
  <c r="K23" i="5"/>
  <c r="F23" i="5" s="1"/>
  <c r="G23" i="5" s="1"/>
  <c r="H23" i="5" s="1"/>
  <c r="K309" i="5"/>
  <c r="F309" i="5" s="1"/>
  <c r="G309" i="5" s="1"/>
  <c r="H309" i="5" s="1"/>
  <c r="K261" i="5"/>
  <c r="F261" i="5" s="1"/>
  <c r="G261" i="5" s="1"/>
  <c r="H261" i="5" s="1"/>
  <c r="K213" i="5"/>
  <c r="F213" i="5" s="1"/>
  <c r="G213" i="5" s="1"/>
  <c r="H213" i="5" s="1"/>
  <c r="K169" i="5"/>
  <c r="F169" i="5" s="1"/>
  <c r="G169" i="5" s="1"/>
  <c r="H169" i="5" s="1"/>
  <c r="K117" i="5"/>
  <c r="F117" i="5" s="1"/>
  <c r="G117" i="5" s="1"/>
  <c r="H117" i="5" s="1"/>
  <c r="K69" i="5"/>
  <c r="F69" i="5" s="1"/>
  <c r="G69" i="5" s="1"/>
  <c r="H69" i="5" s="1"/>
  <c r="K5" i="5"/>
  <c r="F5" i="5" s="1"/>
  <c r="G5" i="5" s="1"/>
  <c r="H5" i="5" s="1"/>
  <c r="K358" i="5"/>
  <c r="F358" i="5" s="1"/>
  <c r="G358" i="5" s="1"/>
  <c r="H358" i="5" s="1"/>
  <c r="K342" i="5"/>
  <c r="F342" i="5" s="1"/>
  <c r="G342" i="5" s="1"/>
  <c r="H342" i="5" s="1"/>
  <c r="K326" i="5"/>
  <c r="F326" i="5" s="1"/>
  <c r="G326" i="5" s="1"/>
  <c r="H326" i="5" s="1"/>
  <c r="K310" i="5"/>
  <c r="F310" i="5" s="1"/>
  <c r="G310" i="5" s="1"/>
  <c r="H310" i="5" s="1"/>
  <c r="K294" i="5"/>
  <c r="F294" i="5" s="1"/>
  <c r="G294" i="5" s="1"/>
  <c r="H294" i="5" s="1"/>
  <c r="K278" i="5"/>
  <c r="F278" i="5" s="1"/>
  <c r="G278" i="5" s="1"/>
  <c r="H278" i="5" s="1"/>
  <c r="K262" i="5"/>
  <c r="F262" i="5" s="1"/>
  <c r="G262" i="5" s="1"/>
  <c r="H262" i="5" s="1"/>
  <c r="K246" i="5"/>
  <c r="F246" i="5" s="1"/>
  <c r="G246" i="5" s="1"/>
  <c r="H246" i="5" s="1"/>
  <c r="K230" i="5"/>
  <c r="F230" i="5" s="1"/>
  <c r="G230" i="5" s="1"/>
  <c r="H230" i="5" s="1"/>
  <c r="K214" i="5"/>
  <c r="F214" i="5" s="1"/>
  <c r="G214" i="5" s="1"/>
  <c r="H214" i="5" s="1"/>
  <c r="K198" i="5"/>
  <c r="F198" i="5" s="1"/>
  <c r="G198" i="5" s="1"/>
  <c r="H198" i="5" s="1"/>
  <c r="K182" i="5"/>
  <c r="F182" i="5" s="1"/>
  <c r="G182" i="5" s="1"/>
  <c r="H182" i="5" s="1"/>
  <c r="K166" i="5"/>
  <c r="F166" i="5" s="1"/>
  <c r="G166" i="5" s="1"/>
  <c r="H166" i="5" s="1"/>
  <c r="K150" i="5"/>
  <c r="F150" i="5" s="1"/>
  <c r="G150" i="5" s="1"/>
  <c r="H150" i="5" s="1"/>
  <c r="K134" i="5"/>
  <c r="F134" i="5" s="1"/>
  <c r="G134" i="5" s="1"/>
  <c r="H134" i="5" s="1"/>
  <c r="K118" i="5"/>
  <c r="F118" i="5" s="1"/>
  <c r="G118" i="5" s="1"/>
  <c r="H118" i="5" s="1"/>
  <c r="K102" i="5"/>
  <c r="F102" i="5" s="1"/>
  <c r="G102" i="5" s="1"/>
  <c r="H102" i="5" s="1"/>
  <c r="K86" i="5"/>
  <c r="F86" i="5" s="1"/>
  <c r="G86" i="5" s="1"/>
  <c r="H86" i="5" s="1"/>
  <c r="K70" i="5"/>
  <c r="F70" i="5" s="1"/>
  <c r="G70" i="5" s="1"/>
  <c r="H70" i="5" s="1"/>
  <c r="K54" i="5"/>
  <c r="F54" i="5" s="1"/>
  <c r="G54" i="5" s="1"/>
  <c r="H54" i="5" s="1"/>
  <c r="K38" i="5"/>
  <c r="F38" i="5" s="1"/>
  <c r="G38" i="5" s="1"/>
  <c r="H38" i="5" s="1"/>
  <c r="K22" i="5"/>
  <c r="F22" i="5" s="1"/>
  <c r="G22" i="5" s="1"/>
  <c r="H22" i="5" s="1"/>
  <c r="K13" i="5"/>
  <c r="F13" i="5" s="1"/>
  <c r="G13" i="5" s="1"/>
  <c r="H13" i="5" s="1"/>
  <c r="K2" i="5"/>
  <c r="F2" i="5" s="1"/>
  <c r="G2" i="5" s="1"/>
  <c r="H2" i="5" s="1"/>
  <c r="K353" i="5"/>
  <c r="F353" i="5" s="1"/>
  <c r="G353" i="5" s="1"/>
  <c r="H353" i="5" s="1"/>
  <c r="K321" i="5"/>
  <c r="F321" i="5" s="1"/>
  <c r="G321" i="5" s="1"/>
  <c r="H321" i="5" s="1"/>
  <c r="K281" i="5"/>
  <c r="F281" i="5" s="1"/>
  <c r="G281" i="5" s="1"/>
  <c r="H281" i="5" s="1"/>
  <c r="K233" i="5"/>
  <c r="F233" i="5" s="1"/>
  <c r="G233" i="5" s="1"/>
  <c r="H233" i="5" s="1"/>
  <c r="K185" i="5"/>
  <c r="F185" i="5" s="1"/>
  <c r="G185" i="5" s="1"/>
  <c r="H185" i="5" s="1"/>
  <c r="K141" i="5"/>
  <c r="F141" i="5" s="1"/>
  <c r="G141" i="5" s="1"/>
  <c r="H141" i="5" s="1"/>
  <c r="K97" i="5"/>
  <c r="F97" i="5" s="1"/>
  <c r="G97" i="5" s="1"/>
  <c r="H97" i="5" s="1"/>
  <c r="K49" i="5"/>
  <c r="F49" i="5" s="1"/>
  <c r="G49" i="5" s="1"/>
  <c r="H49" i="5" s="1"/>
  <c r="K324" i="5"/>
  <c r="F324" i="5" s="1"/>
  <c r="G324" i="5" s="1"/>
  <c r="H324" i="5" s="1"/>
  <c r="J276" i="5"/>
  <c r="I276" i="5"/>
  <c r="J212" i="5"/>
  <c r="I212" i="5"/>
  <c r="J164" i="5"/>
  <c r="I164" i="5"/>
  <c r="J116" i="5"/>
  <c r="I116" i="5"/>
  <c r="J84" i="5"/>
  <c r="I84" i="5"/>
  <c r="K52" i="5"/>
  <c r="F52" i="5" s="1"/>
  <c r="G52" i="5" s="1"/>
  <c r="H52" i="5" s="1"/>
  <c r="J12" i="5"/>
  <c r="I12" i="5"/>
  <c r="J297" i="5"/>
  <c r="I297" i="5"/>
  <c r="K201" i="5"/>
  <c r="F201" i="5" s="1"/>
  <c r="G201" i="5" s="1"/>
  <c r="H201" i="5" s="1"/>
  <c r="J105" i="5"/>
  <c r="I105" i="5"/>
  <c r="I347" i="5"/>
  <c r="J347" i="5"/>
  <c r="J299" i="5"/>
  <c r="I299" i="5"/>
  <c r="J267" i="5"/>
  <c r="I267" i="5"/>
  <c r="K235" i="5"/>
  <c r="F235" i="5" s="1"/>
  <c r="G235" i="5" s="1"/>
  <c r="H235" i="5" s="1"/>
  <c r="K203" i="5"/>
  <c r="F203" i="5" s="1"/>
  <c r="G203" i="5" s="1"/>
  <c r="H203" i="5" s="1"/>
  <c r="J155" i="5"/>
  <c r="I155" i="5"/>
  <c r="J123" i="5"/>
  <c r="I123" i="5"/>
  <c r="J91" i="5"/>
  <c r="I91" i="5"/>
  <c r="K59" i="5"/>
  <c r="F59" i="5" s="1"/>
  <c r="G59" i="5" s="1"/>
  <c r="H59" i="5" s="1"/>
  <c r="J277" i="5"/>
  <c r="I277" i="5"/>
  <c r="J364" i="5"/>
  <c r="I364" i="5"/>
  <c r="J348" i="5"/>
  <c r="I348" i="5"/>
  <c r="K332" i="5"/>
  <c r="F332" i="5" s="1"/>
  <c r="G332" i="5" s="1"/>
  <c r="H332" i="5" s="1"/>
  <c r="K316" i="5"/>
  <c r="F316" i="5" s="1"/>
  <c r="G316" i="5" s="1"/>
  <c r="H316" i="5" s="1"/>
  <c r="J300" i="5"/>
  <c r="I300" i="5"/>
  <c r="J284" i="5"/>
  <c r="I284" i="5"/>
  <c r="J268" i="5"/>
  <c r="I268" i="5"/>
  <c r="J252" i="5"/>
  <c r="I252" i="5"/>
  <c r="K236" i="5"/>
  <c r="F236" i="5" s="1"/>
  <c r="G236" i="5" s="1"/>
  <c r="H236" i="5" s="1"/>
  <c r="K220" i="5"/>
  <c r="F220" i="5" s="1"/>
  <c r="G220" i="5" s="1"/>
  <c r="H220" i="5" s="1"/>
  <c r="K204" i="5"/>
  <c r="F204" i="5" s="1"/>
  <c r="G204" i="5" s="1"/>
  <c r="H204" i="5" s="1"/>
  <c r="K188" i="5"/>
  <c r="F188" i="5" s="1"/>
  <c r="G188" i="5" s="1"/>
  <c r="H188" i="5" s="1"/>
  <c r="J172" i="5"/>
  <c r="I172" i="5"/>
  <c r="J156" i="5"/>
  <c r="I156" i="5"/>
  <c r="K140" i="5"/>
  <c r="F140" i="5" s="1"/>
  <c r="G140" i="5" s="1"/>
  <c r="H140" i="5" s="1"/>
  <c r="K124" i="5"/>
  <c r="F124" i="5" s="1"/>
  <c r="G124" i="5" s="1"/>
  <c r="H124" i="5" s="1"/>
  <c r="J108" i="5"/>
  <c r="I108" i="5"/>
  <c r="J92" i="5"/>
  <c r="I92" i="5"/>
  <c r="K76" i="5"/>
  <c r="F76" i="5" s="1"/>
  <c r="G76" i="5" s="1"/>
  <c r="H76" i="5" s="1"/>
  <c r="K60" i="5"/>
  <c r="F60" i="5" s="1"/>
  <c r="G60" i="5" s="1"/>
  <c r="H60" i="5" s="1"/>
  <c r="K44" i="5"/>
  <c r="F44" i="5" s="1"/>
  <c r="G44" i="5" s="1"/>
  <c r="H44" i="5" s="1"/>
  <c r="K28" i="5"/>
  <c r="F28" i="5" s="1"/>
  <c r="G28" i="5" s="1"/>
  <c r="H28" i="5" s="1"/>
  <c r="K16" i="5"/>
  <c r="F16" i="5" s="1"/>
  <c r="G16" i="5" s="1"/>
  <c r="H16" i="5" s="1"/>
  <c r="K8" i="5"/>
  <c r="F8" i="5" s="1"/>
  <c r="G8" i="5" s="1"/>
  <c r="H8" i="5" s="1"/>
  <c r="K329" i="5"/>
  <c r="F329" i="5" s="1"/>
  <c r="G329" i="5" s="1"/>
  <c r="H329" i="5" s="1"/>
  <c r="J273" i="5"/>
  <c r="I273" i="5"/>
  <c r="K225" i="5"/>
  <c r="F225" i="5" s="1"/>
  <c r="G225" i="5" s="1"/>
  <c r="H225" i="5" s="1"/>
  <c r="K177" i="5"/>
  <c r="F177" i="5" s="1"/>
  <c r="G177" i="5" s="1"/>
  <c r="H177" i="5" s="1"/>
  <c r="K125" i="5"/>
  <c r="F125" i="5" s="1"/>
  <c r="G125" i="5" s="1"/>
  <c r="H125" i="5" s="1"/>
  <c r="K77" i="5"/>
  <c r="F77" i="5" s="1"/>
  <c r="G77" i="5" s="1"/>
  <c r="H77" i="5" s="1"/>
  <c r="K29" i="5"/>
  <c r="F29" i="5" s="1"/>
  <c r="G29" i="5" s="1"/>
  <c r="H29" i="5" s="1"/>
  <c r="K355" i="5"/>
  <c r="F355" i="5" s="1"/>
  <c r="G355" i="5" s="1"/>
  <c r="H355" i="5" s="1"/>
  <c r="K339" i="5"/>
  <c r="F339" i="5" s="1"/>
  <c r="G339" i="5" s="1"/>
  <c r="H339" i="5" s="1"/>
  <c r="K323" i="5"/>
  <c r="F323" i="5" s="1"/>
  <c r="G323" i="5" s="1"/>
  <c r="H323" i="5" s="1"/>
  <c r="K307" i="5"/>
  <c r="F307" i="5" s="1"/>
  <c r="G307" i="5" s="1"/>
  <c r="H307" i="5" s="1"/>
  <c r="K291" i="5"/>
  <c r="F291" i="5" s="1"/>
  <c r="G291" i="5" s="1"/>
  <c r="H291" i="5" s="1"/>
  <c r="K275" i="5"/>
  <c r="F275" i="5" s="1"/>
  <c r="G275" i="5" s="1"/>
  <c r="H275" i="5" s="1"/>
  <c r="J259" i="5"/>
  <c r="I259" i="5"/>
  <c r="K243" i="5"/>
  <c r="F243" i="5" s="1"/>
  <c r="G243" i="5" s="1"/>
  <c r="H243" i="5" s="1"/>
  <c r="K227" i="5"/>
  <c r="F227" i="5" s="1"/>
  <c r="G227" i="5" s="1"/>
  <c r="H227" i="5" s="1"/>
  <c r="K211" i="5"/>
  <c r="F211" i="5" s="1"/>
  <c r="G211" i="5" s="1"/>
  <c r="H211" i="5" s="1"/>
  <c r="K195" i="5"/>
  <c r="F195" i="5" s="1"/>
  <c r="G195" i="5" s="1"/>
  <c r="H195" i="5" s="1"/>
  <c r="K179" i="5"/>
  <c r="F179" i="5" s="1"/>
  <c r="G179" i="5" s="1"/>
  <c r="H179" i="5" s="1"/>
  <c r="K163" i="5"/>
  <c r="F163" i="5" s="1"/>
  <c r="G163" i="5" s="1"/>
  <c r="H163" i="5" s="1"/>
  <c r="K147" i="5"/>
  <c r="F147" i="5" s="1"/>
  <c r="G147" i="5" s="1"/>
  <c r="H147" i="5" s="1"/>
  <c r="K131" i="5"/>
  <c r="F131" i="5" s="1"/>
  <c r="G131" i="5" s="1"/>
  <c r="H131" i="5" s="1"/>
  <c r="K115" i="5"/>
  <c r="F115" i="5" s="1"/>
  <c r="G115" i="5" s="1"/>
  <c r="H115" i="5" s="1"/>
  <c r="K99" i="5"/>
  <c r="F99" i="5" s="1"/>
  <c r="G99" i="5" s="1"/>
  <c r="H99" i="5" s="1"/>
  <c r="K83" i="5"/>
  <c r="F83" i="5" s="1"/>
  <c r="G83" i="5" s="1"/>
  <c r="H83" i="5" s="1"/>
  <c r="K67" i="5"/>
  <c r="F67" i="5" s="1"/>
  <c r="G67" i="5" s="1"/>
  <c r="H67" i="5" s="1"/>
  <c r="K51" i="5"/>
  <c r="F51" i="5" s="1"/>
  <c r="G51" i="5" s="1"/>
  <c r="H51" i="5" s="1"/>
  <c r="K35" i="5"/>
  <c r="F35" i="5" s="1"/>
  <c r="G35" i="5" s="1"/>
  <c r="H35" i="5" s="1"/>
  <c r="K3" i="5"/>
  <c r="F3" i="5" s="1"/>
  <c r="G3" i="5" s="1"/>
  <c r="H3" i="5" s="1"/>
  <c r="K301" i="5"/>
  <c r="F301" i="5" s="1"/>
  <c r="G301" i="5" s="1"/>
  <c r="H301" i="5" s="1"/>
  <c r="J249" i="5"/>
  <c r="I249" i="5"/>
  <c r="K205" i="5"/>
  <c r="F205" i="5" s="1"/>
  <c r="G205" i="5" s="1"/>
  <c r="H205" i="5" s="1"/>
  <c r="K157" i="5"/>
  <c r="F157" i="5" s="1"/>
  <c r="G157" i="5" s="1"/>
  <c r="H157" i="5" s="1"/>
  <c r="K101" i="5"/>
  <c r="F101" i="5" s="1"/>
  <c r="G101" i="5" s="1"/>
  <c r="H101" i="5" s="1"/>
  <c r="K57" i="5"/>
  <c r="F57" i="5" s="1"/>
  <c r="G57" i="5" s="1"/>
  <c r="H57" i="5" s="1"/>
  <c r="K354" i="5"/>
  <c r="F354" i="5" s="1"/>
  <c r="G354" i="5" s="1"/>
  <c r="H354" i="5" s="1"/>
  <c r="K338" i="5"/>
  <c r="F338" i="5" s="1"/>
  <c r="G338" i="5" s="1"/>
  <c r="H338" i="5" s="1"/>
  <c r="K322" i="5"/>
  <c r="F322" i="5" s="1"/>
  <c r="G322" i="5" s="1"/>
  <c r="H322" i="5" s="1"/>
  <c r="K306" i="5"/>
  <c r="F306" i="5" s="1"/>
  <c r="G306" i="5" s="1"/>
  <c r="H306" i="5" s="1"/>
  <c r="K290" i="5"/>
  <c r="F290" i="5" s="1"/>
  <c r="G290" i="5" s="1"/>
  <c r="H290" i="5" s="1"/>
  <c r="K274" i="5"/>
  <c r="F274" i="5" s="1"/>
  <c r="G274" i="5" s="1"/>
  <c r="H274" i="5" s="1"/>
  <c r="K258" i="5"/>
  <c r="F258" i="5" s="1"/>
  <c r="G258" i="5" s="1"/>
  <c r="H258" i="5" s="1"/>
  <c r="K242" i="5"/>
  <c r="F242" i="5" s="1"/>
  <c r="G242" i="5" s="1"/>
  <c r="H242" i="5" s="1"/>
  <c r="K226" i="5"/>
  <c r="F226" i="5" s="1"/>
  <c r="G226" i="5" s="1"/>
  <c r="H226" i="5" s="1"/>
  <c r="K210" i="5"/>
  <c r="F210" i="5" s="1"/>
  <c r="G210" i="5" s="1"/>
  <c r="H210" i="5" s="1"/>
  <c r="K194" i="5"/>
  <c r="F194" i="5" s="1"/>
  <c r="G194" i="5" s="1"/>
  <c r="H194" i="5" s="1"/>
  <c r="K178" i="5"/>
  <c r="F178" i="5" s="1"/>
  <c r="G178" i="5" s="1"/>
  <c r="H178" i="5" s="1"/>
  <c r="K162" i="5"/>
  <c r="F162" i="5" s="1"/>
  <c r="G162" i="5" s="1"/>
  <c r="H162" i="5" s="1"/>
  <c r="K146" i="5"/>
  <c r="F146" i="5" s="1"/>
  <c r="G146" i="5" s="1"/>
  <c r="H146" i="5" s="1"/>
  <c r="K130" i="5"/>
  <c r="F130" i="5" s="1"/>
  <c r="G130" i="5" s="1"/>
  <c r="H130" i="5" s="1"/>
  <c r="K114" i="5"/>
  <c r="F114" i="5" s="1"/>
  <c r="G114" i="5" s="1"/>
  <c r="H114" i="5" s="1"/>
  <c r="K98" i="5"/>
  <c r="F98" i="5" s="1"/>
  <c r="G98" i="5" s="1"/>
  <c r="H98" i="5" s="1"/>
  <c r="K82" i="5"/>
  <c r="F82" i="5" s="1"/>
  <c r="G82" i="5" s="1"/>
  <c r="H82" i="5" s="1"/>
  <c r="K66" i="5"/>
  <c r="F66" i="5" s="1"/>
  <c r="G66" i="5" s="1"/>
  <c r="H66" i="5" s="1"/>
  <c r="K50" i="5"/>
  <c r="F50" i="5" s="1"/>
  <c r="G50" i="5" s="1"/>
  <c r="H50" i="5" s="1"/>
  <c r="K34" i="5"/>
  <c r="F34" i="5" s="1"/>
  <c r="G34" i="5" s="1"/>
  <c r="H34" i="5" s="1"/>
  <c r="K19" i="5"/>
  <c r="F19" i="5" s="1"/>
  <c r="G19" i="5" s="1"/>
  <c r="H19" i="5" s="1"/>
  <c r="K11" i="5"/>
  <c r="F11" i="5" s="1"/>
  <c r="G11" i="5" s="1"/>
  <c r="H11" i="5" s="1"/>
  <c r="K365" i="5"/>
  <c r="F365" i="5" s="1"/>
  <c r="G365" i="5" s="1"/>
  <c r="H365" i="5" s="1"/>
  <c r="K349" i="5"/>
  <c r="F349" i="5" s="1"/>
  <c r="G349" i="5" s="1"/>
  <c r="H349" i="5" s="1"/>
  <c r="K317" i="5"/>
  <c r="F317" i="5" s="1"/>
  <c r="G317" i="5" s="1"/>
  <c r="H317" i="5" s="1"/>
  <c r="K269" i="5"/>
  <c r="F269" i="5" s="1"/>
  <c r="G269" i="5" s="1"/>
  <c r="H269" i="5" s="1"/>
  <c r="K221" i="5"/>
  <c r="F221" i="5" s="1"/>
  <c r="G221" i="5" s="1"/>
  <c r="H221" i="5" s="1"/>
  <c r="K173" i="5"/>
  <c r="F173" i="5" s="1"/>
  <c r="G173" i="5" s="1"/>
  <c r="H173" i="5" s="1"/>
  <c r="K133" i="5"/>
  <c r="F133" i="5" s="1"/>
  <c r="G133" i="5" s="1"/>
  <c r="H133" i="5" s="1"/>
  <c r="K85" i="5"/>
  <c r="F85" i="5" s="1"/>
  <c r="G85" i="5" s="1"/>
  <c r="H85" i="5" s="1"/>
  <c r="K37" i="5"/>
  <c r="F37" i="5" s="1"/>
  <c r="G37" i="5" s="1"/>
  <c r="H37" i="5" s="1"/>
  <c r="J356" i="5"/>
  <c r="I356" i="5"/>
  <c r="J292" i="5"/>
  <c r="I292" i="5"/>
  <c r="K244" i="5"/>
  <c r="F244" i="5" s="1"/>
  <c r="G244" i="5" s="1"/>
  <c r="H244" i="5" s="1"/>
  <c r="J196" i="5"/>
  <c r="I196" i="5"/>
  <c r="J132" i="5"/>
  <c r="I132" i="5"/>
  <c r="K360" i="5"/>
  <c r="F360" i="5" s="1"/>
  <c r="G360" i="5" s="1"/>
  <c r="H360" i="5" s="1"/>
  <c r="K344" i="5"/>
  <c r="F344" i="5" s="1"/>
  <c r="G344" i="5" s="1"/>
  <c r="H344" i="5" s="1"/>
  <c r="K328" i="5"/>
  <c r="F328" i="5" s="1"/>
  <c r="G328" i="5" s="1"/>
  <c r="H328" i="5" s="1"/>
  <c r="K312" i="5"/>
  <c r="F312" i="5" s="1"/>
  <c r="G312" i="5" s="1"/>
  <c r="H312" i="5" s="1"/>
  <c r="K296" i="5"/>
  <c r="F296" i="5" s="1"/>
  <c r="G296" i="5" s="1"/>
  <c r="H296" i="5" s="1"/>
  <c r="K280" i="5"/>
  <c r="F280" i="5" s="1"/>
  <c r="G280" i="5" s="1"/>
  <c r="H280" i="5" s="1"/>
  <c r="J264" i="5"/>
  <c r="I264" i="5"/>
  <c r="K248" i="5"/>
  <c r="F248" i="5" s="1"/>
  <c r="G248" i="5" s="1"/>
  <c r="H248" i="5" s="1"/>
  <c r="K232" i="5"/>
  <c r="F232" i="5" s="1"/>
  <c r="G232" i="5" s="1"/>
  <c r="H232" i="5" s="1"/>
  <c r="K216" i="5"/>
  <c r="F216" i="5" s="1"/>
  <c r="G216" i="5" s="1"/>
  <c r="H216" i="5" s="1"/>
  <c r="K200" i="5"/>
  <c r="F200" i="5" s="1"/>
  <c r="G200" i="5" s="1"/>
  <c r="H200" i="5" s="1"/>
  <c r="K184" i="5"/>
  <c r="F184" i="5" s="1"/>
  <c r="G184" i="5" s="1"/>
  <c r="H184" i="5" s="1"/>
  <c r="K168" i="5"/>
  <c r="F168" i="5" s="1"/>
  <c r="G168" i="5" s="1"/>
  <c r="H168" i="5" s="1"/>
  <c r="K152" i="5"/>
  <c r="F152" i="5" s="1"/>
  <c r="G152" i="5" s="1"/>
  <c r="H152" i="5" s="1"/>
  <c r="K136" i="5"/>
  <c r="F136" i="5" s="1"/>
  <c r="G136" i="5" s="1"/>
  <c r="H136" i="5" s="1"/>
  <c r="K120" i="5"/>
  <c r="F120" i="5" s="1"/>
  <c r="G120" i="5" s="1"/>
  <c r="H120" i="5" s="1"/>
  <c r="K104" i="5"/>
  <c r="F104" i="5" s="1"/>
  <c r="G104" i="5" s="1"/>
  <c r="H104" i="5" s="1"/>
  <c r="K88" i="5"/>
  <c r="F88" i="5" s="1"/>
  <c r="G88" i="5" s="1"/>
  <c r="H88" i="5" s="1"/>
  <c r="K72" i="5"/>
  <c r="F72" i="5" s="1"/>
  <c r="G72" i="5" s="1"/>
  <c r="H72" i="5" s="1"/>
  <c r="K56" i="5"/>
  <c r="F56" i="5" s="1"/>
  <c r="G56" i="5" s="1"/>
  <c r="H56" i="5" s="1"/>
  <c r="K40" i="5"/>
  <c r="F40" i="5" s="1"/>
  <c r="G40" i="5" s="1"/>
  <c r="H40" i="5" s="1"/>
  <c r="K24" i="5"/>
  <c r="F24" i="5" s="1"/>
  <c r="G24" i="5" s="1"/>
  <c r="H24" i="5" s="1"/>
  <c r="K14" i="5"/>
  <c r="F14" i="5" s="1"/>
  <c r="G14" i="5" s="1"/>
  <c r="H14" i="5" s="1"/>
  <c r="K4" i="5"/>
  <c r="F4" i="5" s="1"/>
  <c r="G4" i="5" s="1"/>
  <c r="H4" i="5" s="1"/>
  <c r="K313" i="5"/>
  <c r="F313" i="5" s="1"/>
  <c r="G313" i="5" s="1"/>
  <c r="H313" i="5" s="1"/>
  <c r="K265" i="5"/>
  <c r="F265" i="5" s="1"/>
  <c r="G265" i="5" s="1"/>
  <c r="H265" i="5" s="1"/>
  <c r="K217" i="5"/>
  <c r="F217" i="5" s="1"/>
  <c r="G217" i="5" s="1"/>
  <c r="H217" i="5" s="1"/>
  <c r="K165" i="5"/>
  <c r="F165" i="5" s="1"/>
  <c r="G165" i="5" s="1"/>
  <c r="H165" i="5" s="1"/>
  <c r="K113" i="5"/>
  <c r="F113" i="5" s="1"/>
  <c r="G113" i="5" s="1"/>
  <c r="H113" i="5" s="1"/>
  <c r="K65" i="5"/>
  <c r="F65" i="5" s="1"/>
  <c r="G65" i="5" s="1"/>
  <c r="H65" i="5" s="1"/>
  <c r="K21" i="5"/>
  <c r="F21" i="5" s="1"/>
  <c r="G21" i="5" s="1"/>
  <c r="H21" i="5" s="1"/>
  <c r="K351" i="5"/>
  <c r="F351" i="5" s="1"/>
  <c r="G351" i="5" s="1"/>
  <c r="H351" i="5" s="1"/>
  <c r="K335" i="5"/>
  <c r="F335" i="5" s="1"/>
  <c r="G335" i="5" s="1"/>
  <c r="H335" i="5" s="1"/>
  <c r="K319" i="5"/>
  <c r="F319" i="5" s="1"/>
  <c r="G319" i="5" s="1"/>
  <c r="H319" i="5" s="1"/>
  <c r="K303" i="5"/>
  <c r="F303" i="5" s="1"/>
  <c r="G303" i="5" s="1"/>
  <c r="H303" i="5" s="1"/>
  <c r="K287" i="5"/>
  <c r="F287" i="5" s="1"/>
  <c r="G287" i="5" s="1"/>
  <c r="H287" i="5" s="1"/>
  <c r="K271" i="5"/>
  <c r="F271" i="5" s="1"/>
  <c r="G271" i="5" s="1"/>
  <c r="H271" i="5" s="1"/>
  <c r="K255" i="5"/>
  <c r="F255" i="5" s="1"/>
  <c r="G255" i="5" s="1"/>
  <c r="H255" i="5" s="1"/>
  <c r="K239" i="5"/>
  <c r="F239" i="5" s="1"/>
  <c r="G239" i="5" s="1"/>
  <c r="H239" i="5" s="1"/>
  <c r="K223" i="5"/>
  <c r="F223" i="5" s="1"/>
  <c r="G223" i="5" s="1"/>
  <c r="H223" i="5" s="1"/>
  <c r="K207" i="5"/>
  <c r="F207" i="5" s="1"/>
  <c r="G207" i="5" s="1"/>
  <c r="H207" i="5" s="1"/>
  <c r="K191" i="5"/>
  <c r="F191" i="5" s="1"/>
  <c r="G191" i="5" s="1"/>
  <c r="H191" i="5" s="1"/>
  <c r="K175" i="5"/>
  <c r="F175" i="5" s="1"/>
  <c r="G175" i="5" s="1"/>
  <c r="H175" i="5" s="1"/>
  <c r="K159" i="5"/>
  <c r="F159" i="5" s="1"/>
  <c r="G159" i="5" s="1"/>
  <c r="H159" i="5" s="1"/>
  <c r="K143" i="5"/>
  <c r="F143" i="5" s="1"/>
  <c r="G143" i="5" s="1"/>
  <c r="H143" i="5" s="1"/>
  <c r="K127" i="5"/>
  <c r="F127" i="5" s="1"/>
  <c r="G127" i="5" s="1"/>
  <c r="H127" i="5" s="1"/>
  <c r="K111" i="5"/>
  <c r="F111" i="5" s="1"/>
  <c r="G111" i="5" s="1"/>
  <c r="H111" i="5" s="1"/>
  <c r="K95" i="5"/>
  <c r="F95" i="5" s="1"/>
  <c r="G95" i="5" s="1"/>
  <c r="H95" i="5" s="1"/>
  <c r="K79" i="5"/>
  <c r="F79" i="5" s="1"/>
  <c r="G79" i="5" s="1"/>
  <c r="H79" i="5" s="1"/>
  <c r="K63" i="5"/>
  <c r="F63" i="5" s="1"/>
  <c r="G63" i="5" s="1"/>
  <c r="H63" i="5" s="1"/>
  <c r="K47" i="5"/>
  <c r="F47" i="5" s="1"/>
  <c r="G47" i="5" s="1"/>
  <c r="H47" i="5" s="1"/>
  <c r="K31" i="5"/>
  <c r="F31" i="5" s="1"/>
  <c r="G31" i="5" s="1"/>
  <c r="H31" i="5" s="1"/>
  <c r="K337" i="5"/>
  <c r="F337" i="5" s="1"/>
  <c r="G337" i="5" s="1"/>
  <c r="H337" i="5" s="1"/>
  <c r="K289" i="5"/>
  <c r="F289" i="5" s="1"/>
  <c r="G289" i="5" s="1"/>
  <c r="H289" i="5" s="1"/>
  <c r="K237" i="5"/>
  <c r="F237" i="5" s="1"/>
  <c r="G237" i="5" s="1"/>
  <c r="H237" i="5" s="1"/>
  <c r="K193" i="5"/>
  <c r="F193" i="5" s="1"/>
  <c r="G193" i="5" s="1"/>
  <c r="H193" i="5" s="1"/>
  <c r="K145" i="5"/>
  <c r="F145" i="5" s="1"/>
  <c r="G145" i="5" s="1"/>
  <c r="H145" i="5" s="1"/>
  <c r="K89" i="5"/>
  <c r="F89" i="5" s="1"/>
  <c r="G89" i="5" s="1"/>
  <c r="H89" i="5" s="1"/>
  <c r="K45" i="5"/>
  <c r="F45" i="5" s="1"/>
  <c r="G45" i="5" s="1"/>
  <c r="H45" i="5" s="1"/>
  <c r="K366" i="5"/>
  <c r="F366" i="5" s="1"/>
  <c r="G366" i="5" s="1"/>
  <c r="H366" i="5" s="1"/>
  <c r="K350" i="5"/>
  <c r="F350" i="5" s="1"/>
  <c r="G350" i="5" s="1"/>
  <c r="H350" i="5" s="1"/>
  <c r="K334" i="5"/>
  <c r="F334" i="5" s="1"/>
  <c r="G334" i="5" s="1"/>
  <c r="H334" i="5" s="1"/>
  <c r="K302" i="5"/>
  <c r="F302" i="5" s="1"/>
  <c r="G302" i="5" s="1"/>
  <c r="H302" i="5" s="1"/>
  <c r="K286" i="5"/>
  <c r="F286" i="5" s="1"/>
  <c r="G286" i="5" s="1"/>
  <c r="H286" i="5" s="1"/>
  <c r="K270" i="5"/>
  <c r="F270" i="5" s="1"/>
  <c r="G270" i="5" s="1"/>
  <c r="H270" i="5" s="1"/>
  <c r="K254" i="5"/>
  <c r="F254" i="5" s="1"/>
  <c r="G254" i="5" s="1"/>
  <c r="H254" i="5" s="1"/>
  <c r="K238" i="5"/>
  <c r="F238" i="5" s="1"/>
  <c r="G238" i="5" s="1"/>
  <c r="H238" i="5" s="1"/>
  <c r="K206" i="5"/>
  <c r="F206" i="5" s="1"/>
  <c r="G206" i="5" s="1"/>
  <c r="H206" i="5" s="1"/>
  <c r="K190" i="5"/>
  <c r="F190" i="5" s="1"/>
  <c r="G190" i="5" s="1"/>
  <c r="H190" i="5" s="1"/>
  <c r="K174" i="5"/>
  <c r="F174" i="5" s="1"/>
  <c r="G174" i="5" s="1"/>
  <c r="H174" i="5" s="1"/>
  <c r="K158" i="5"/>
  <c r="F158" i="5" s="1"/>
  <c r="G158" i="5" s="1"/>
  <c r="H158" i="5" s="1"/>
  <c r="K142" i="5"/>
  <c r="F142" i="5" s="1"/>
  <c r="G142" i="5" s="1"/>
  <c r="H142" i="5" s="1"/>
  <c r="K110" i="5"/>
  <c r="F110" i="5" s="1"/>
  <c r="G110" i="5" s="1"/>
  <c r="H110" i="5" s="1"/>
  <c r="K94" i="5"/>
  <c r="F94" i="5" s="1"/>
  <c r="G94" i="5" s="1"/>
  <c r="H94" i="5" s="1"/>
  <c r="K78" i="5"/>
  <c r="F78" i="5" s="1"/>
  <c r="G78" i="5" s="1"/>
  <c r="H78" i="5" s="1"/>
  <c r="K62" i="5"/>
  <c r="F62" i="5" s="1"/>
  <c r="G62" i="5" s="1"/>
  <c r="H62" i="5" s="1"/>
  <c r="K30" i="5"/>
  <c r="F30" i="5" s="1"/>
  <c r="G30" i="5" s="1"/>
  <c r="H30" i="5" s="1"/>
  <c r="K17" i="5"/>
  <c r="F17" i="5" s="1"/>
  <c r="G17" i="5" s="1"/>
  <c r="H17" i="5" s="1"/>
  <c r="K9" i="5"/>
  <c r="F9" i="5" s="1"/>
  <c r="G9" i="5" s="1"/>
  <c r="H9" i="5" s="1"/>
  <c r="K361" i="5"/>
  <c r="F361" i="5" s="1"/>
  <c r="G361" i="5" s="1"/>
  <c r="H361" i="5" s="1"/>
  <c r="F8" i="9" l="1"/>
  <c r="G8" i="9"/>
  <c r="G10" i="3"/>
  <c r="F10" i="3"/>
  <c r="C10" i="9"/>
  <c r="D9" i="9"/>
  <c r="E9" i="9" s="1"/>
  <c r="C12" i="3"/>
  <c r="D11" i="3"/>
  <c r="E11" i="3" s="1"/>
  <c r="O8" i="5"/>
  <c r="J9" i="5"/>
  <c r="I9" i="5"/>
  <c r="J238" i="5"/>
  <c r="I238" i="5"/>
  <c r="J45" i="5"/>
  <c r="I45" i="5"/>
  <c r="J47" i="5"/>
  <c r="I47" i="5"/>
  <c r="J239" i="5"/>
  <c r="I239" i="5"/>
  <c r="J217" i="5"/>
  <c r="I217" i="5"/>
  <c r="J200" i="5"/>
  <c r="I200" i="5"/>
  <c r="J244" i="5"/>
  <c r="I244" i="5"/>
  <c r="I34" i="5"/>
  <c r="J34" i="5"/>
  <c r="I226" i="5"/>
  <c r="J226" i="5"/>
  <c r="J205" i="5"/>
  <c r="I205" i="5"/>
  <c r="J83" i="5"/>
  <c r="I83" i="5"/>
  <c r="J323" i="5"/>
  <c r="I323" i="5"/>
  <c r="J204" i="5"/>
  <c r="I204" i="5"/>
  <c r="J201" i="5"/>
  <c r="I201" i="5"/>
  <c r="J353" i="5"/>
  <c r="I353" i="5"/>
  <c r="J166" i="5"/>
  <c r="I166" i="5"/>
  <c r="J358" i="5"/>
  <c r="I358" i="5"/>
  <c r="J87" i="5"/>
  <c r="I87" i="5"/>
  <c r="J279" i="5"/>
  <c r="I279" i="5"/>
  <c r="J341" i="5"/>
  <c r="I341" i="5"/>
  <c r="J48" i="5"/>
  <c r="I48" i="5"/>
  <c r="J112" i="5"/>
  <c r="I112" i="5"/>
  <c r="J176" i="5"/>
  <c r="I176" i="5"/>
  <c r="J61" i="5"/>
  <c r="I61" i="5"/>
  <c r="J197" i="5"/>
  <c r="I197" i="5"/>
  <c r="I6" i="5"/>
  <c r="J6" i="5"/>
  <c r="I58" i="5"/>
  <c r="J58" i="5"/>
  <c r="I138" i="5"/>
  <c r="J138" i="5"/>
  <c r="J234" i="5"/>
  <c r="I234" i="5"/>
  <c r="J315" i="5"/>
  <c r="I315" i="5"/>
  <c r="J53" i="5"/>
  <c r="I53" i="5"/>
  <c r="J17" i="5"/>
  <c r="I17" i="5"/>
  <c r="I94" i="5"/>
  <c r="J94" i="5"/>
  <c r="J174" i="5"/>
  <c r="I174" i="5"/>
  <c r="J254" i="5"/>
  <c r="I254" i="5"/>
  <c r="J334" i="5"/>
  <c r="I334" i="5"/>
  <c r="J89" i="5"/>
  <c r="I89" i="5"/>
  <c r="J289" i="5"/>
  <c r="I289" i="5"/>
  <c r="J63" i="5"/>
  <c r="I63" i="5"/>
  <c r="J127" i="5"/>
  <c r="I127" i="5"/>
  <c r="J191" i="5"/>
  <c r="I191" i="5"/>
  <c r="J255" i="5"/>
  <c r="I255" i="5"/>
  <c r="J319" i="5"/>
  <c r="I319" i="5"/>
  <c r="J65" i="5"/>
  <c r="I65" i="5"/>
  <c r="J265" i="5"/>
  <c r="I265" i="5"/>
  <c r="J24" i="5"/>
  <c r="I24" i="5"/>
  <c r="J88" i="5"/>
  <c r="I88" i="5"/>
  <c r="J152" i="5"/>
  <c r="I152" i="5"/>
  <c r="J216" i="5"/>
  <c r="I216" i="5"/>
  <c r="J328" i="5"/>
  <c r="I328" i="5"/>
  <c r="J37" i="5"/>
  <c r="I37" i="5"/>
  <c r="J221" i="5"/>
  <c r="I221" i="5"/>
  <c r="J365" i="5"/>
  <c r="I365" i="5"/>
  <c r="I50" i="5"/>
  <c r="J50" i="5"/>
  <c r="I114" i="5"/>
  <c r="J114" i="5"/>
  <c r="J178" i="5"/>
  <c r="I178" i="5"/>
  <c r="J242" i="5"/>
  <c r="I242" i="5"/>
  <c r="J306" i="5"/>
  <c r="I306" i="5"/>
  <c r="J57" i="5"/>
  <c r="I57" i="5"/>
  <c r="J35" i="5"/>
  <c r="I35" i="5"/>
  <c r="J99" i="5"/>
  <c r="I99" i="5"/>
  <c r="J163" i="5"/>
  <c r="I163" i="5"/>
  <c r="J227" i="5"/>
  <c r="I227" i="5"/>
  <c r="J275" i="5"/>
  <c r="I275" i="5"/>
  <c r="J339" i="5"/>
  <c r="I339" i="5"/>
  <c r="J125" i="5"/>
  <c r="I125" i="5"/>
  <c r="J28" i="5"/>
  <c r="I28" i="5"/>
  <c r="J124" i="5"/>
  <c r="I124" i="5"/>
  <c r="J220" i="5"/>
  <c r="I220" i="5"/>
  <c r="J52" i="5"/>
  <c r="I52" i="5"/>
  <c r="J49" i="5"/>
  <c r="I49" i="5"/>
  <c r="J233" i="5"/>
  <c r="I233" i="5"/>
  <c r="I2" i="5"/>
  <c r="J2" i="5"/>
  <c r="I54" i="5"/>
  <c r="J54" i="5"/>
  <c r="I118" i="5"/>
  <c r="J118" i="5"/>
  <c r="J182" i="5"/>
  <c r="I182" i="5"/>
  <c r="J246" i="5"/>
  <c r="I246" i="5"/>
  <c r="J310" i="5"/>
  <c r="I310" i="5"/>
  <c r="J5" i="5"/>
  <c r="I5" i="5"/>
  <c r="J213" i="5"/>
  <c r="I213" i="5"/>
  <c r="J39" i="5"/>
  <c r="I39" i="5"/>
  <c r="J103" i="5"/>
  <c r="I103" i="5"/>
  <c r="J167" i="5"/>
  <c r="I167" i="5"/>
  <c r="J231" i="5"/>
  <c r="I231" i="5"/>
  <c r="J295" i="5"/>
  <c r="I295" i="5"/>
  <c r="J359" i="5"/>
  <c r="I359" i="5"/>
  <c r="J189" i="5"/>
  <c r="I189" i="5"/>
  <c r="I10" i="5"/>
  <c r="J10" i="5"/>
  <c r="J64" i="5"/>
  <c r="I64" i="5"/>
  <c r="J128" i="5"/>
  <c r="I128" i="5"/>
  <c r="J192" i="5"/>
  <c r="I192" i="5"/>
  <c r="J256" i="5"/>
  <c r="I256" i="5"/>
  <c r="J320" i="5"/>
  <c r="I320" i="5"/>
  <c r="J333" i="5"/>
  <c r="I333" i="5"/>
  <c r="J15" i="5"/>
  <c r="I15" i="5"/>
  <c r="I186" i="5"/>
  <c r="J186" i="5"/>
  <c r="I314" i="5"/>
  <c r="J314" i="5"/>
  <c r="J229" i="5"/>
  <c r="I229" i="5"/>
  <c r="J43" i="5"/>
  <c r="I43" i="5"/>
  <c r="J331" i="5"/>
  <c r="I331" i="5"/>
  <c r="J36" i="5"/>
  <c r="I36" i="5"/>
  <c r="J308" i="5"/>
  <c r="I308" i="5"/>
  <c r="J158" i="5"/>
  <c r="I158" i="5"/>
  <c r="J237" i="5"/>
  <c r="I237" i="5"/>
  <c r="J175" i="5"/>
  <c r="I175" i="5"/>
  <c r="J21" i="5"/>
  <c r="I21" i="5"/>
  <c r="J72" i="5"/>
  <c r="I72" i="5"/>
  <c r="J312" i="5"/>
  <c r="I312" i="5"/>
  <c r="J349" i="5"/>
  <c r="I349" i="5"/>
  <c r="I162" i="5"/>
  <c r="J162" i="5"/>
  <c r="J354" i="5"/>
  <c r="I354" i="5"/>
  <c r="J147" i="5"/>
  <c r="I147" i="5"/>
  <c r="J77" i="5"/>
  <c r="I77" i="5"/>
  <c r="J76" i="5"/>
  <c r="I76" i="5"/>
  <c r="J185" i="5"/>
  <c r="I185" i="5"/>
  <c r="I38" i="5"/>
  <c r="J38" i="5"/>
  <c r="J230" i="5"/>
  <c r="I230" i="5"/>
  <c r="J169" i="5"/>
  <c r="I169" i="5"/>
  <c r="J151" i="5"/>
  <c r="I151" i="5"/>
  <c r="J343" i="5"/>
  <c r="I343" i="5"/>
  <c r="J240" i="5"/>
  <c r="I240" i="5"/>
  <c r="I30" i="5"/>
  <c r="J30" i="5"/>
  <c r="I110" i="5"/>
  <c r="J110" i="5"/>
  <c r="J190" i="5"/>
  <c r="I190" i="5"/>
  <c r="J270" i="5"/>
  <c r="I270" i="5"/>
  <c r="J350" i="5"/>
  <c r="I350" i="5"/>
  <c r="J145" i="5"/>
  <c r="I145" i="5"/>
  <c r="J337" i="5"/>
  <c r="I337" i="5"/>
  <c r="J79" i="5"/>
  <c r="I79" i="5"/>
  <c r="J143" i="5"/>
  <c r="I143" i="5"/>
  <c r="J207" i="5"/>
  <c r="I207" i="5"/>
  <c r="J271" i="5"/>
  <c r="I271" i="5"/>
  <c r="J335" i="5"/>
  <c r="I335" i="5"/>
  <c r="J113" i="5"/>
  <c r="I113" i="5"/>
  <c r="J313" i="5"/>
  <c r="I313" i="5"/>
  <c r="J40" i="5"/>
  <c r="I40" i="5"/>
  <c r="J104" i="5"/>
  <c r="I104" i="5"/>
  <c r="J168" i="5"/>
  <c r="I168" i="5"/>
  <c r="J232" i="5"/>
  <c r="I232" i="5"/>
  <c r="J280" i="5"/>
  <c r="I280" i="5"/>
  <c r="J344" i="5"/>
  <c r="I344" i="5"/>
  <c r="J85" i="5"/>
  <c r="I85" i="5"/>
  <c r="J269" i="5"/>
  <c r="I269" i="5"/>
  <c r="J11" i="5"/>
  <c r="I11" i="5"/>
  <c r="I66" i="5"/>
  <c r="J66" i="5"/>
  <c r="I130" i="5"/>
  <c r="J130" i="5"/>
  <c r="I194" i="5"/>
  <c r="J194" i="5"/>
  <c r="I258" i="5"/>
  <c r="J258" i="5"/>
  <c r="I322" i="5"/>
  <c r="J322" i="5"/>
  <c r="J101" i="5"/>
  <c r="I101" i="5"/>
  <c r="J51" i="5"/>
  <c r="I51" i="5"/>
  <c r="J115" i="5"/>
  <c r="I115" i="5"/>
  <c r="J179" i="5"/>
  <c r="I179" i="5"/>
  <c r="J243" i="5"/>
  <c r="I243" i="5"/>
  <c r="J291" i="5"/>
  <c r="I291" i="5"/>
  <c r="J355" i="5"/>
  <c r="I355" i="5"/>
  <c r="J177" i="5"/>
  <c r="I177" i="5"/>
  <c r="J329" i="5"/>
  <c r="I329" i="5"/>
  <c r="J44" i="5"/>
  <c r="I44" i="5"/>
  <c r="J140" i="5"/>
  <c r="I140" i="5"/>
  <c r="J236" i="5"/>
  <c r="I236" i="5"/>
  <c r="J203" i="5"/>
  <c r="I203" i="5"/>
  <c r="J97" i="5"/>
  <c r="I97" i="5"/>
  <c r="J281" i="5"/>
  <c r="I281" i="5"/>
  <c r="J13" i="5"/>
  <c r="I13" i="5"/>
  <c r="I70" i="5"/>
  <c r="J70" i="5"/>
  <c r="I134" i="5"/>
  <c r="J134" i="5"/>
  <c r="J198" i="5"/>
  <c r="I198" i="5"/>
  <c r="J262" i="5"/>
  <c r="I262" i="5"/>
  <c r="J326" i="5"/>
  <c r="I326" i="5"/>
  <c r="J69" i="5"/>
  <c r="I69" i="5"/>
  <c r="J261" i="5"/>
  <c r="I261" i="5"/>
  <c r="J55" i="5"/>
  <c r="I55" i="5"/>
  <c r="J119" i="5"/>
  <c r="I119" i="5"/>
  <c r="J183" i="5"/>
  <c r="I183" i="5"/>
  <c r="J247" i="5"/>
  <c r="I247" i="5"/>
  <c r="J311" i="5"/>
  <c r="I311" i="5"/>
  <c r="J41" i="5"/>
  <c r="I41" i="5"/>
  <c r="J241" i="5"/>
  <c r="I241" i="5"/>
  <c r="I18" i="5"/>
  <c r="J18" i="5"/>
  <c r="J80" i="5"/>
  <c r="I80" i="5"/>
  <c r="J144" i="5"/>
  <c r="I144" i="5"/>
  <c r="J208" i="5"/>
  <c r="I208" i="5"/>
  <c r="J272" i="5"/>
  <c r="I272" i="5"/>
  <c r="J336" i="5"/>
  <c r="I336" i="5"/>
  <c r="I26" i="5"/>
  <c r="J26" i="5"/>
  <c r="J202" i="5"/>
  <c r="I202" i="5"/>
  <c r="J330" i="5"/>
  <c r="I330" i="5"/>
  <c r="J129" i="5"/>
  <c r="I129" i="5"/>
  <c r="J325" i="5"/>
  <c r="I325" i="5"/>
  <c r="J187" i="5"/>
  <c r="I187" i="5"/>
  <c r="J228" i="5"/>
  <c r="I228" i="5"/>
  <c r="I78" i="5"/>
  <c r="J78" i="5"/>
  <c r="J302" i="5"/>
  <c r="I302" i="5"/>
  <c r="J111" i="5"/>
  <c r="I111" i="5"/>
  <c r="J303" i="5"/>
  <c r="I303" i="5"/>
  <c r="I14" i="5"/>
  <c r="J14" i="5"/>
  <c r="J136" i="5"/>
  <c r="I136" i="5"/>
  <c r="J173" i="5"/>
  <c r="I173" i="5"/>
  <c r="I98" i="5"/>
  <c r="J98" i="5"/>
  <c r="I290" i="5"/>
  <c r="J290" i="5"/>
  <c r="J3" i="5"/>
  <c r="I3" i="5"/>
  <c r="J211" i="5"/>
  <c r="I211" i="5"/>
  <c r="J16" i="5"/>
  <c r="I16" i="5"/>
  <c r="J332" i="5"/>
  <c r="I332" i="5"/>
  <c r="J324" i="5"/>
  <c r="I324" i="5"/>
  <c r="I102" i="5"/>
  <c r="J102" i="5"/>
  <c r="J294" i="5"/>
  <c r="I294" i="5"/>
  <c r="J23" i="5"/>
  <c r="I23" i="5"/>
  <c r="J215" i="5"/>
  <c r="I215" i="5"/>
  <c r="J137" i="5"/>
  <c r="I137" i="5"/>
  <c r="J304" i="5"/>
  <c r="I304" i="5"/>
  <c r="J361" i="5"/>
  <c r="I361" i="5"/>
  <c r="I62" i="5"/>
  <c r="J62" i="5"/>
  <c r="I142" i="5"/>
  <c r="J142" i="5"/>
  <c r="J206" i="5"/>
  <c r="I206" i="5"/>
  <c r="J286" i="5"/>
  <c r="I286" i="5"/>
  <c r="J366" i="5"/>
  <c r="I366" i="5"/>
  <c r="J193" i="5"/>
  <c r="I193" i="5"/>
  <c r="J31" i="5"/>
  <c r="I31" i="5"/>
  <c r="J95" i="5"/>
  <c r="I95" i="5"/>
  <c r="J159" i="5"/>
  <c r="I159" i="5"/>
  <c r="J223" i="5"/>
  <c r="I223" i="5"/>
  <c r="J287" i="5"/>
  <c r="I287" i="5"/>
  <c r="J351" i="5"/>
  <c r="I351" i="5"/>
  <c r="J165" i="5"/>
  <c r="I165" i="5"/>
  <c r="J4" i="5"/>
  <c r="I4" i="5"/>
  <c r="J56" i="5"/>
  <c r="I56" i="5"/>
  <c r="J120" i="5"/>
  <c r="I120" i="5"/>
  <c r="J184" i="5"/>
  <c r="I184" i="5"/>
  <c r="J248" i="5"/>
  <c r="I248" i="5"/>
  <c r="J296" i="5"/>
  <c r="I296" i="5"/>
  <c r="J360" i="5"/>
  <c r="I360" i="5"/>
  <c r="J133" i="5"/>
  <c r="I133" i="5"/>
  <c r="J317" i="5"/>
  <c r="I317" i="5"/>
  <c r="J19" i="5"/>
  <c r="I19" i="5"/>
  <c r="I82" i="5"/>
  <c r="J82" i="5"/>
  <c r="I146" i="5"/>
  <c r="J146" i="5"/>
  <c r="J210" i="5"/>
  <c r="I210" i="5"/>
  <c r="J274" i="5"/>
  <c r="I274" i="5"/>
  <c r="J338" i="5"/>
  <c r="I338" i="5"/>
  <c r="J157" i="5"/>
  <c r="I157" i="5"/>
  <c r="J301" i="5"/>
  <c r="I301" i="5"/>
  <c r="J67" i="5"/>
  <c r="I67" i="5"/>
  <c r="J131" i="5"/>
  <c r="I131" i="5"/>
  <c r="J195" i="5"/>
  <c r="I195" i="5"/>
  <c r="J307" i="5"/>
  <c r="I307" i="5"/>
  <c r="J29" i="5"/>
  <c r="I29" i="5"/>
  <c r="J225" i="5"/>
  <c r="I225" i="5"/>
  <c r="J8" i="5"/>
  <c r="I8" i="5"/>
  <c r="J60" i="5"/>
  <c r="I60" i="5"/>
  <c r="J188" i="5"/>
  <c r="I188" i="5"/>
  <c r="J316" i="5"/>
  <c r="I316" i="5"/>
  <c r="J59" i="5"/>
  <c r="I59" i="5"/>
  <c r="J235" i="5"/>
  <c r="I235" i="5"/>
  <c r="J141" i="5"/>
  <c r="I141" i="5"/>
  <c r="J321" i="5"/>
  <c r="I321" i="5"/>
  <c r="I22" i="5"/>
  <c r="J22" i="5"/>
  <c r="I86" i="5"/>
  <c r="J86" i="5"/>
  <c r="J150" i="5"/>
  <c r="I150" i="5"/>
  <c r="J214" i="5"/>
  <c r="I214" i="5"/>
  <c r="J278" i="5"/>
  <c r="I278" i="5"/>
  <c r="J342" i="5"/>
  <c r="I342" i="5"/>
  <c r="J117" i="5"/>
  <c r="I117" i="5"/>
  <c r="J309" i="5"/>
  <c r="I309" i="5"/>
  <c r="J71" i="5"/>
  <c r="I71" i="5"/>
  <c r="J135" i="5"/>
  <c r="I135" i="5"/>
  <c r="J199" i="5"/>
  <c r="I199" i="5"/>
  <c r="J263" i="5"/>
  <c r="I263" i="5"/>
  <c r="J327" i="5"/>
  <c r="I327" i="5"/>
  <c r="J93" i="5"/>
  <c r="I93" i="5"/>
  <c r="J285" i="5"/>
  <c r="I285" i="5"/>
  <c r="J32" i="5"/>
  <c r="I32" i="5"/>
  <c r="J96" i="5"/>
  <c r="I96" i="5"/>
  <c r="J160" i="5"/>
  <c r="I160" i="5"/>
  <c r="J224" i="5"/>
  <c r="I224" i="5"/>
  <c r="J288" i="5"/>
  <c r="I288" i="5"/>
  <c r="J352" i="5"/>
  <c r="I352" i="5"/>
  <c r="J149" i="5"/>
  <c r="I149" i="5"/>
  <c r="I42" i="5"/>
  <c r="J42" i="5"/>
  <c r="I122" i="5"/>
  <c r="J122" i="5"/>
  <c r="I218" i="5"/>
  <c r="J218" i="5"/>
  <c r="J33" i="5"/>
  <c r="I33" i="5"/>
  <c r="J219" i="5"/>
  <c r="I219" i="5"/>
  <c r="C13" i="3" l="1"/>
  <c r="D12" i="3"/>
  <c r="E12" i="3" s="1"/>
  <c r="G9" i="9"/>
  <c r="F9" i="9"/>
  <c r="F11" i="3"/>
  <c r="G11" i="3"/>
  <c r="C11" i="9"/>
  <c r="D10" i="9"/>
  <c r="E10" i="9" s="1"/>
  <c r="O9" i="5"/>
  <c r="O10" i="5"/>
  <c r="O11" i="5" s="1"/>
  <c r="C12" i="9" l="1"/>
  <c r="D11" i="9"/>
  <c r="E11" i="9" s="1"/>
  <c r="G12" i="3"/>
  <c r="F12" i="3"/>
  <c r="F10" i="9"/>
  <c r="G10" i="9"/>
  <c r="C14" i="3"/>
  <c r="D13" i="3"/>
  <c r="E13" i="3" s="1"/>
  <c r="F13" i="3" l="1"/>
  <c r="G13" i="3"/>
  <c r="C15" i="3"/>
  <c r="D14" i="3"/>
  <c r="E14" i="3" s="1"/>
  <c r="F11" i="9"/>
  <c r="G11" i="9"/>
  <c r="C13" i="9"/>
  <c r="D13" i="9" s="1"/>
  <c r="E13" i="9" s="1"/>
  <c r="D12" i="9"/>
  <c r="E12" i="9" s="1"/>
  <c r="F12" i="9" l="1"/>
  <c r="G12" i="9"/>
  <c r="G14" i="3"/>
  <c r="F14" i="3"/>
  <c r="G13" i="9"/>
  <c r="K6" i="9" s="1"/>
  <c r="K7" i="9" s="1"/>
  <c r="F13" i="9"/>
  <c r="K5" i="9" s="1"/>
  <c r="K4" i="9"/>
  <c r="C16" i="3"/>
  <c r="D15" i="3"/>
  <c r="E15" i="3" s="1"/>
  <c r="C17" i="3" l="1"/>
  <c r="D16" i="3"/>
  <c r="E16" i="3" s="1"/>
  <c r="G15" i="3"/>
  <c r="F15" i="3"/>
  <c r="G16" i="3" l="1"/>
  <c r="F16" i="3"/>
  <c r="C18" i="3"/>
  <c r="D17" i="3"/>
  <c r="E17" i="3" s="1"/>
  <c r="G17" i="3" l="1"/>
  <c r="F17" i="3"/>
  <c r="C19" i="3"/>
  <c r="D18" i="3"/>
  <c r="E18" i="3" s="1"/>
  <c r="G18" i="3" l="1"/>
  <c r="F18" i="3"/>
  <c r="C20" i="3"/>
  <c r="D19" i="3"/>
  <c r="E19" i="3" s="1"/>
  <c r="G19" i="3" l="1"/>
  <c r="F19" i="3"/>
  <c r="C21" i="3"/>
  <c r="D20" i="3"/>
  <c r="E20" i="3" s="1"/>
  <c r="F20" i="3" l="1"/>
  <c r="G20" i="3"/>
  <c r="C22" i="3"/>
  <c r="D21" i="3"/>
  <c r="E21" i="3" s="1"/>
  <c r="G21" i="3" l="1"/>
  <c r="F21" i="3"/>
  <c r="C23" i="3"/>
  <c r="D22" i="3"/>
  <c r="E22" i="3" s="1"/>
  <c r="G22" i="3" l="1"/>
  <c r="F22" i="3"/>
  <c r="C24" i="3"/>
  <c r="D23" i="3"/>
  <c r="E23" i="3" s="1"/>
  <c r="C25" i="3" l="1"/>
  <c r="D24" i="3"/>
  <c r="E24" i="3" s="1"/>
  <c r="G23" i="3"/>
  <c r="F23" i="3"/>
  <c r="G24" i="3" l="1"/>
  <c r="F24" i="3"/>
  <c r="C26" i="3"/>
  <c r="D25" i="3"/>
  <c r="E25" i="3" s="1"/>
  <c r="F25" i="3" l="1"/>
  <c r="G25" i="3"/>
  <c r="C27" i="3"/>
  <c r="D26" i="3"/>
  <c r="E26" i="3" s="1"/>
  <c r="G26" i="3" l="1"/>
  <c r="F26" i="3"/>
  <c r="C28" i="3"/>
  <c r="D27" i="3"/>
  <c r="E27" i="3" s="1"/>
  <c r="F27" i="3" l="1"/>
  <c r="G27" i="3"/>
  <c r="C29" i="3"/>
  <c r="D28" i="3"/>
  <c r="E28" i="3" s="1"/>
  <c r="G28" i="3" l="1"/>
  <c r="F28" i="3"/>
  <c r="C30" i="3"/>
  <c r="D29" i="3"/>
  <c r="E29" i="3" s="1"/>
  <c r="C31" i="3" l="1"/>
  <c r="D30" i="3"/>
  <c r="E30" i="3" s="1"/>
  <c r="G29" i="3"/>
  <c r="F29" i="3"/>
  <c r="C32" i="3" l="1"/>
  <c r="D31" i="3"/>
  <c r="E31" i="3" s="1"/>
  <c r="G30" i="3"/>
  <c r="F30" i="3"/>
  <c r="F31" i="3" l="1"/>
  <c r="G31" i="3"/>
  <c r="C33" i="3"/>
  <c r="D32" i="3"/>
  <c r="E32" i="3" s="1"/>
  <c r="C34" i="3" l="1"/>
  <c r="D33" i="3"/>
  <c r="E33" i="3" s="1"/>
  <c r="F32" i="3"/>
  <c r="G32" i="3"/>
  <c r="G33" i="3" l="1"/>
  <c r="F33" i="3"/>
  <c r="C35" i="3"/>
  <c r="D34" i="3"/>
  <c r="E34" i="3" s="1"/>
  <c r="G34" i="3" l="1"/>
  <c r="F34" i="3"/>
  <c r="C36" i="3"/>
  <c r="D35" i="3"/>
  <c r="E35" i="3" s="1"/>
  <c r="G35" i="3" l="1"/>
  <c r="F35" i="3"/>
  <c r="C37" i="3"/>
  <c r="D36" i="3"/>
  <c r="E36" i="3" s="1"/>
  <c r="G36" i="3" l="1"/>
  <c r="F36" i="3"/>
  <c r="C38" i="3"/>
  <c r="D37" i="3"/>
  <c r="E37" i="3" s="1"/>
  <c r="C39" i="3" l="1"/>
  <c r="D38" i="3"/>
  <c r="E38" i="3" s="1"/>
  <c r="G37" i="3"/>
  <c r="F37" i="3"/>
  <c r="G38" i="3" l="1"/>
  <c r="F38" i="3"/>
  <c r="C40" i="3"/>
  <c r="D39" i="3"/>
  <c r="E39" i="3" s="1"/>
  <c r="G39" i="3" l="1"/>
  <c r="F39" i="3"/>
  <c r="C41" i="3"/>
  <c r="D40" i="3"/>
  <c r="E40" i="3" s="1"/>
  <c r="F40" i="3" l="1"/>
  <c r="G40" i="3"/>
  <c r="C42" i="3"/>
  <c r="D41" i="3"/>
  <c r="E41" i="3" s="1"/>
  <c r="F41" i="3" l="1"/>
  <c r="G41" i="3"/>
  <c r="C43" i="3"/>
  <c r="D42" i="3"/>
  <c r="E42" i="3" s="1"/>
  <c r="G42" i="3" l="1"/>
  <c r="F42" i="3"/>
  <c r="C44" i="3"/>
  <c r="D43" i="3"/>
  <c r="E43" i="3" s="1"/>
  <c r="G43" i="3" l="1"/>
  <c r="F43" i="3"/>
  <c r="C45" i="3"/>
  <c r="D44" i="3"/>
  <c r="E44" i="3" s="1"/>
  <c r="G44" i="3" l="1"/>
  <c r="F44" i="3"/>
  <c r="C46" i="3"/>
  <c r="D45" i="3"/>
  <c r="E45" i="3" s="1"/>
  <c r="G45" i="3" l="1"/>
  <c r="F45" i="3"/>
  <c r="C47" i="3"/>
  <c r="D46" i="3"/>
  <c r="E46" i="3" s="1"/>
  <c r="G46" i="3" l="1"/>
  <c r="F46" i="3"/>
  <c r="C48" i="3"/>
  <c r="D47" i="3"/>
  <c r="E47" i="3" s="1"/>
  <c r="F47" i="3" l="1"/>
  <c r="G47" i="3"/>
  <c r="C49" i="3"/>
  <c r="D48" i="3"/>
  <c r="E48" i="3" s="1"/>
  <c r="F48" i="3" l="1"/>
  <c r="G48" i="3"/>
  <c r="C50" i="3"/>
  <c r="D49" i="3"/>
  <c r="E49" i="3" s="1"/>
  <c r="G49" i="3" l="1"/>
  <c r="F49" i="3"/>
  <c r="C51" i="3"/>
  <c r="D50" i="3"/>
  <c r="E50" i="3" s="1"/>
  <c r="G50" i="3" l="1"/>
  <c r="F50" i="3"/>
  <c r="C52" i="3"/>
  <c r="D51" i="3"/>
  <c r="E51" i="3" s="1"/>
  <c r="G51" i="3" l="1"/>
  <c r="F51" i="3"/>
  <c r="C53" i="3"/>
  <c r="D52" i="3"/>
  <c r="E52" i="3" s="1"/>
  <c r="F52" i="3" l="1"/>
  <c r="G52" i="3"/>
  <c r="C54" i="3"/>
  <c r="D53" i="3"/>
  <c r="E53" i="3" s="1"/>
  <c r="F53" i="3" l="1"/>
  <c r="G53" i="3"/>
  <c r="C55" i="3"/>
  <c r="D54" i="3"/>
  <c r="E54" i="3" s="1"/>
  <c r="C56" i="3" l="1"/>
  <c r="D55" i="3"/>
  <c r="E55" i="3" s="1"/>
  <c r="G54" i="3"/>
  <c r="F54" i="3"/>
  <c r="G55" i="3" l="1"/>
  <c r="F55" i="3"/>
  <c r="C57" i="3"/>
  <c r="D56" i="3"/>
  <c r="E56" i="3" s="1"/>
  <c r="C58" i="3" l="1"/>
  <c r="D57" i="3"/>
  <c r="E57" i="3" s="1"/>
  <c r="G56" i="3"/>
  <c r="F56" i="3"/>
  <c r="G57" i="3" l="1"/>
  <c r="F57" i="3"/>
  <c r="C59" i="3"/>
  <c r="D58" i="3"/>
  <c r="E58" i="3" s="1"/>
  <c r="C60" i="3" l="1"/>
  <c r="D59" i="3"/>
  <c r="E59" i="3" s="1"/>
  <c r="G58" i="3"/>
  <c r="F58" i="3"/>
  <c r="G59" i="3" l="1"/>
  <c r="F59" i="3"/>
  <c r="C61" i="3"/>
  <c r="D60" i="3"/>
  <c r="E60" i="3" s="1"/>
  <c r="G60" i="3" l="1"/>
  <c r="F60" i="3"/>
  <c r="C62" i="3"/>
  <c r="D61" i="3"/>
  <c r="E61" i="3" s="1"/>
  <c r="G61" i="3" l="1"/>
  <c r="F61" i="3"/>
  <c r="C63" i="3"/>
  <c r="D62" i="3"/>
  <c r="E62" i="3" s="1"/>
  <c r="G62" i="3" l="1"/>
  <c r="F62" i="3"/>
  <c r="C64" i="3"/>
  <c r="D63" i="3"/>
  <c r="E63" i="3" s="1"/>
  <c r="C65" i="3" l="1"/>
  <c r="D64" i="3"/>
  <c r="E64" i="3" s="1"/>
  <c r="F63" i="3"/>
  <c r="G63" i="3"/>
  <c r="G64" i="3" l="1"/>
  <c r="F64" i="3"/>
  <c r="C66" i="3"/>
  <c r="D65" i="3"/>
  <c r="E65" i="3" s="1"/>
  <c r="C67" i="3" l="1"/>
  <c r="D66" i="3"/>
  <c r="E66" i="3" s="1"/>
  <c r="G65" i="3"/>
  <c r="F65" i="3"/>
  <c r="G66" i="3" l="1"/>
  <c r="F66" i="3"/>
  <c r="C68" i="3"/>
  <c r="D67" i="3"/>
  <c r="E67" i="3" s="1"/>
  <c r="C69" i="3" l="1"/>
  <c r="D68" i="3"/>
  <c r="E68" i="3" s="1"/>
  <c r="G67" i="3"/>
  <c r="F67" i="3"/>
  <c r="F68" i="3" l="1"/>
  <c r="G68" i="3"/>
  <c r="C70" i="3"/>
  <c r="D69" i="3"/>
  <c r="E69" i="3" s="1"/>
  <c r="G69" i="3" l="1"/>
  <c r="F69" i="3"/>
  <c r="C71" i="3"/>
  <c r="D70" i="3"/>
  <c r="E70" i="3" s="1"/>
  <c r="G70" i="3" l="1"/>
  <c r="F70" i="3"/>
  <c r="C72" i="3"/>
  <c r="D71" i="3"/>
  <c r="E71" i="3" s="1"/>
  <c r="G71" i="3" l="1"/>
  <c r="F71" i="3"/>
  <c r="C73" i="3"/>
  <c r="D72" i="3"/>
  <c r="E72" i="3" s="1"/>
  <c r="G72" i="3" l="1"/>
  <c r="F72" i="3"/>
  <c r="C74" i="3"/>
  <c r="D73" i="3"/>
  <c r="E73" i="3" s="1"/>
  <c r="F73" i="3" l="1"/>
  <c r="G73" i="3"/>
  <c r="C75" i="3"/>
  <c r="D74" i="3"/>
  <c r="E74" i="3" s="1"/>
  <c r="G74" i="3" l="1"/>
  <c r="F74" i="3"/>
  <c r="C76" i="3"/>
  <c r="D75" i="3"/>
  <c r="E75" i="3" s="1"/>
  <c r="F75" i="3" l="1"/>
  <c r="G75" i="3"/>
  <c r="C77" i="3"/>
  <c r="D76" i="3"/>
  <c r="E76" i="3" s="1"/>
  <c r="G76" i="3" l="1"/>
  <c r="F76" i="3"/>
  <c r="C78" i="3"/>
  <c r="D77" i="3"/>
  <c r="E77" i="3" s="1"/>
  <c r="G77" i="3" l="1"/>
  <c r="F77" i="3"/>
  <c r="C79" i="3"/>
  <c r="D78" i="3"/>
  <c r="E78" i="3" s="1"/>
  <c r="G78" i="3" l="1"/>
  <c r="F78" i="3"/>
  <c r="C80" i="3"/>
  <c r="D79" i="3"/>
  <c r="E79" i="3" s="1"/>
  <c r="G79" i="3" l="1"/>
  <c r="F79" i="3"/>
  <c r="C81" i="3"/>
  <c r="D80" i="3"/>
  <c r="E80" i="3" s="1"/>
  <c r="G80" i="3" l="1"/>
  <c r="F80" i="3"/>
  <c r="C82" i="3"/>
  <c r="D81" i="3"/>
  <c r="E81" i="3" s="1"/>
  <c r="G81" i="3" l="1"/>
  <c r="F81" i="3"/>
  <c r="C83" i="3"/>
  <c r="D82" i="3"/>
  <c r="E82" i="3" s="1"/>
  <c r="G82" i="3" l="1"/>
  <c r="F82" i="3"/>
  <c r="C84" i="3"/>
  <c r="D83" i="3"/>
  <c r="E83" i="3" s="1"/>
  <c r="F83" i="3" l="1"/>
  <c r="G83" i="3"/>
  <c r="C85" i="3"/>
  <c r="D84" i="3"/>
  <c r="E84" i="3" s="1"/>
  <c r="F84" i="3" l="1"/>
  <c r="G84" i="3"/>
  <c r="C86" i="3"/>
  <c r="D85" i="3"/>
  <c r="E85" i="3" s="1"/>
  <c r="G85" i="3" l="1"/>
  <c r="F85" i="3"/>
  <c r="C87" i="3"/>
  <c r="D86" i="3"/>
  <c r="E86" i="3" s="1"/>
  <c r="G86" i="3" l="1"/>
  <c r="F86" i="3"/>
  <c r="C88" i="3"/>
  <c r="D87" i="3"/>
  <c r="E87" i="3" s="1"/>
  <c r="C89" i="3" l="1"/>
  <c r="D88" i="3"/>
  <c r="E88" i="3" s="1"/>
  <c r="G87" i="3"/>
  <c r="F87" i="3"/>
  <c r="G88" i="3" l="1"/>
  <c r="F88" i="3"/>
  <c r="C90" i="3"/>
  <c r="D89" i="3"/>
  <c r="E89" i="3" s="1"/>
  <c r="F89" i="3" l="1"/>
  <c r="G89" i="3"/>
  <c r="C91" i="3"/>
  <c r="D90" i="3"/>
  <c r="E90" i="3" s="1"/>
  <c r="C92" i="3" l="1"/>
  <c r="D91" i="3"/>
  <c r="E91" i="3" s="1"/>
  <c r="G90" i="3"/>
  <c r="F90" i="3"/>
  <c r="F91" i="3" l="1"/>
  <c r="G91" i="3"/>
  <c r="C93" i="3"/>
  <c r="D92" i="3"/>
  <c r="E92" i="3" s="1"/>
  <c r="G92" i="3" l="1"/>
  <c r="F92" i="3"/>
  <c r="C94" i="3"/>
  <c r="D93" i="3"/>
  <c r="E93" i="3" s="1"/>
  <c r="G93" i="3" l="1"/>
  <c r="F93" i="3"/>
  <c r="C95" i="3"/>
  <c r="D94" i="3"/>
  <c r="E94" i="3" s="1"/>
  <c r="G94" i="3" l="1"/>
  <c r="F94" i="3"/>
  <c r="C96" i="3"/>
  <c r="D95" i="3"/>
  <c r="E95" i="3" s="1"/>
  <c r="F95" i="3" l="1"/>
  <c r="G95" i="3"/>
  <c r="C97" i="3"/>
  <c r="D96" i="3"/>
  <c r="E96" i="3" s="1"/>
  <c r="F96" i="3" l="1"/>
  <c r="G96" i="3"/>
  <c r="C98" i="3"/>
  <c r="D97" i="3"/>
  <c r="E97" i="3" s="1"/>
  <c r="C99" i="3" l="1"/>
  <c r="D98" i="3"/>
  <c r="E98" i="3" s="1"/>
  <c r="G97" i="3"/>
  <c r="F97" i="3"/>
  <c r="C100" i="3" l="1"/>
  <c r="D99" i="3"/>
  <c r="E99" i="3" s="1"/>
  <c r="G98" i="3"/>
  <c r="F98" i="3"/>
  <c r="G99" i="3" l="1"/>
  <c r="F99" i="3"/>
  <c r="C101" i="3"/>
  <c r="D100" i="3"/>
  <c r="E100" i="3" s="1"/>
  <c r="C102" i="3" l="1"/>
  <c r="D101" i="3"/>
  <c r="E101" i="3" s="1"/>
  <c r="G100" i="3"/>
  <c r="F100" i="3"/>
  <c r="G101" i="3" l="1"/>
  <c r="F101" i="3"/>
  <c r="C103" i="3"/>
  <c r="D102" i="3"/>
  <c r="E102" i="3" s="1"/>
  <c r="C104" i="3" l="1"/>
  <c r="D103" i="3"/>
  <c r="E103" i="3" s="1"/>
  <c r="G102" i="3"/>
  <c r="F102" i="3"/>
  <c r="G103" i="3" l="1"/>
  <c r="F103" i="3"/>
  <c r="C105" i="3"/>
  <c r="D104" i="3"/>
  <c r="E104" i="3" s="1"/>
  <c r="C106" i="3" l="1"/>
  <c r="D105" i="3"/>
  <c r="E105" i="3" s="1"/>
  <c r="G104" i="3"/>
  <c r="F104" i="3"/>
  <c r="F105" i="3" l="1"/>
  <c r="G105" i="3"/>
  <c r="C107" i="3"/>
  <c r="D106" i="3"/>
  <c r="E106" i="3" s="1"/>
  <c r="G106" i="3" l="1"/>
  <c r="F106" i="3"/>
  <c r="C108" i="3"/>
  <c r="D107" i="3"/>
  <c r="E107" i="3" s="1"/>
  <c r="G107" i="3" l="1"/>
  <c r="F107" i="3"/>
  <c r="C109" i="3"/>
  <c r="D108" i="3"/>
  <c r="E108" i="3" s="1"/>
  <c r="C110" i="3" l="1"/>
  <c r="D109" i="3"/>
  <c r="E109" i="3" s="1"/>
  <c r="G108" i="3"/>
  <c r="F108" i="3"/>
  <c r="G109" i="3" l="1"/>
  <c r="F109" i="3"/>
  <c r="C111" i="3"/>
  <c r="D110" i="3"/>
  <c r="E110" i="3" s="1"/>
  <c r="G110" i="3" l="1"/>
  <c r="F110" i="3"/>
  <c r="C112" i="3"/>
  <c r="D111" i="3"/>
  <c r="E111" i="3" s="1"/>
  <c r="C113" i="3" l="1"/>
  <c r="D112" i="3"/>
  <c r="E112" i="3" s="1"/>
  <c r="F111" i="3"/>
  <c r="G111" i="3"/>
  <c r="G112" i="3" l="1"/>
  <c r="F112" i="3"/>
  <c r="C114" i="3"/>
  <c r="D113" i="3"/>
  <c r="E113" i="3" s="1"/>
  <c r="G113" i="3" l="1"/>
  <c r="F113" i="3"/>
  <c r="C115" i="3"/>
  <c r="D114" i="3"/>
  <c r="E114" i="3" s="1"/>
  <c r="C116" i="3" l="1"/>
  <c r="D115" i="3"/>
  <c r="E115" i="3" s="1"/>
  <c r="G114" i="3"/>
  <c r="F114" i="3"/>
  <c r="G115" i="3" l="1"/>
  <c r="F115" i="3"/>
  <c r="C117" i="3"/>
  <c r="D116" i="3"/>
  <c r="E116" i="3" s="1"/>
  <c r="C118" i="3" l="1"/>
  <c r="D117" i="3"/>
  <c r="E117" i="3" s="1"/>
  <c r="F116" i="3"/>
  <c r="G116" i="3"/>
  <c r="F117" i="3" l="1"/>
  <c r="G117" i="3"/>
  <c r="C119" i="3"/>
  <c r="D118" i="3"/>
  <c r="E118" i="3" s="1"/>
  <c r="G118" i="3" l="1"/>
  <c r="F118" i="3"/>
  <c r="C120" i="3"/>
  <c r="D119" i="3"/>
  <c r="E119" i="3" s="1"/>
  <c r="G119" i="3" l="1"/>
  <c r="F119" i="3"/>
  <c r="C121" i="3"/>
  <c r="D120" i="3"/>
  <c r="E120" i="3" s="1"/>
  <c r="G120" i="3" l="1"/>
  <c r="F120" i="3"/>
  <c r="C122" i="3"/>
  <c r="D121" i="3"/>
  <c r="E121" i="3" s="1"/>
  <c r="G121" i="3" l="1"/>
  <c r="F121" i="3"/>
  <c r="C123" i="3"/>
  <c r="D122" i="3"/>
  <c r="E122" i="3" s="1"/>
  <c r="G122" i="3" l="1"/>
  <c r="F122" i="3"/>
  <c r="C124" i="3"/>
  <c r="D123" i="3"/>
  <c r="E123" i="3" s="1"/>
  <c r="G123" i="3" l="1"/>
  <c r="F123" i="3"/>
  <c r="C125" i="3"/>
  <c r="D124" i="3"/>
  <c r="E124" i="3" s="1"/>
  <c r="G124" i="3" l="1"/>
  <c r="F124" i="3"/>
  <c r="C126" i="3"/>
  <c r="D125" i="3"/>
  <c r="E125" i="3" s="1"/>
  <c r="F125" i="3" l="1"/>
  <c r="G125" i="3"/>
  <c r="C127" i="3"/>
  <c r="D126" i="3"/>
  <c r="E126" i="3" s="1"/>
  <c r="G126" i="3" l="1"/>
  <c r="F126" i="3"/>
  <c r="C128" i="3"/>
  <c r="D127" i="3"/>
  <c r="E127" i="3" s="1"/>
  <c r="C129" i="3" l="1"/>
  <c r="D128" i="3"/>
  <c r="E128" i="3" s="1"/>
  <c r="F127" i="3"/>
  <c r="G127" i="3"/>
  <c r="G128" i="3" l="1"/>
  <c r="F128" i="3"/>
  <c r="C130" i="3"/>
  <c r="D129" i="3"/>
  <c r="E129" i="3" s="1"/>
  <c r="G129" i="3" l="1"/>
  <c r="F129" i="3"/>
  <c r="C131" i="3"/>
  <c r="D130" i="3"/>
  <c r="E130" i="3" s="1"/>
  <c r="G130" i="3" l="1"/>
  <c r="F130" i="3"/>
  <c r="C132" i="3"/>
  <c r="D131" i="3"/>
  <c r="E131" i="3" s="1"/>
  <c r="C133" i="3" l="1"/>
  <c r="D132" i="3"/>
  <c r="E132" i="3" s="1"/>
  <c r="G131" i="3"/>
  <c r="F131" i="3"/>
  <c r="F132" i="3" l="1"/>
  <c r="G132" i="3"/>
  <c r="C134" i="3"/>
  <c r="D133" i="3"/>
  <c r="E133" i="3" s="1"/>
  <c r="C135" i="3" l="1"/>
  <c r="D134" i="3"/>
  <c r="E134" i="3" s="1"/>
  <c r="F133" i="3"/>
  <c r="G133" i="3"/>
  <c r="G134" i="3" l="1"/>
  <c r="F134" i="3"/>
  <c r="C136" i="3"/>
  <c r="D135" i="3"/>
  <c r="E135" i="3" s="1"/>
  <c r="G135" i="3" l="1"/>
  <c r="F135" i="3"/>
  <c r="C137" i="3"/>
  <c r="D136" i="3"/>
  <c r="E136" i="3" s="1"/>
  <c r="G136" i="3" l="1"/>
  <c r="F136" i="3"/>
  <c r="C138" i="3"/>
  <c r="D137" i="3"/>
  <c r="E137" i="3" s="1"/>
  <c r="C139" i="3" l="1"/>
  <c r="D138" i="3"/>
  <c r="E138" i="3" s="1"/>
  <c r="F137" i="3"/>
  <c r="G137" i="3"/>
  <c r="G138" i="3" l="1"/>
  <c r="F138" i="3"/>
  <c r="C140" i="3"/>
  <c r="D139" i="3"/>
  <c r="E139" i="3" s="1"/>
  <c r="G139" i="3" l="1"/>
  <c r="F139" i="3"/>
  <c r="C141" i="3"/>
  <c r="D140" i="3"/>
  <c r="E140" i="3" s="1"/>
  <c r="G140" i="3" l="1"/>
  <c r="F140" i="3"/>
  <c r="C142" i="3"/>
  <c r="D141" i="3"/>
  <c r="E141" i="3" s="1"/>
  <c r="G141" i="3" l="1"/>
  <c r="F141" i="3"/>
  <c r="C143" i="3"/>
  <c r="D142" i="3"/>
  <c r="E142" i="3" s="1"/>
  <c r="G142" i="3" l="1"/>
  <c r="F142" i="3"/>
  <c r="C144" i="3"/>
  <c r="D143" i="3"/>
  <c r="E143" i="3" s="1"/>
  <c r="G143" i="3" l="1"/>
  <c r="F143" i="3"/>
  <c r="C145" i="3"/>
  <c r="D144" i="3"/>
  <c r="E144" i="3" s="1"/>
  <c r="G144" i="3" l="1"/>
  <c r="F144" i="3"/>
  <c r="C146" i="3"/>
  <c r="D145" i="3"/>
  <c r="E145" i="3" s="1"/>
  <c r="C147" i="3" l="1"/>
  <c r="D146" i="3"/>
  <c r="E146" i="3" s="1"/>
  <c r="G145" i="3"/>
  <c r="F145" i="3"/>
  <c r="C148" i="3" l="1"/>
  <c r="D147" i="3"/>
  <c r="E147" i="3" s="1"/>
  <c r="G146" i="3"/>
  <c r="F146" i="3"/>
  <c r="G147" i="3" l="1"/>
  <c r="F147" i="3"/>
  <c r="C149" i="3"/>
  <c r="D148" i="3"/>
  <c r="E148" i="3" s="1"/>
  <c r="C150" i="3" l="1"/>
  <c r="D149" i="3"/>
  <c r="E149" i="3" s="1"/>
  <c r="F148" i="3"/>
  <c r="G148" i="3"/>
  <c r="G149" i="3" l="1"/>
  <c r="F149" i="3"/>
  <c r="C151" i="3"/>
  <c r="D150" i="3"/>
  <c r="E150" i="3" s="1"/>
  <c r="G150" i="3" l="1"/>
  <c r="F150" i="3"/>
  <c r="C152" i="3"/>
  <c r="D151" i="3"/>
  <c r="E151" i="3" s="1"/>
  <c r="G151" i="3" l="1"/>
  <c r="F151" i="3"/>
  <c r="C153" i="3"/>
  <c r="D152" i="3"/>
  <c r="E152" i="3" s="1"/>
  <c r="C154" i="3" l="1"/>
  <c r="D153" i="3"/>
  <c r="E153" i="3" s="1"/>
  <c r="G152" i="3"/>
  <c r="F152" i="3"/>
  <c r="F153" i="3" l="1"/>
  <c r="G153" i="3"/>
  <c r="C155" i="3"/>
  <c r="D154" i="3"/>
  <c r="E154" i="3" s="1"/>
  <c r="C156" i="3" l="1"/>
  <c r="D155" i="3"/>
  <c r="E155" i="3" s="1"/>
  <c r="G154" i="3"/>
  <c r="F154" i="3"/>
  <c r="G155" i="3" l="1"/>
  <c r="F155" i="3"/>
  <c r="C157" i="3"/>
  <c r="D156" i="3"/>
  <c r="E156" i="3" s="1"/>
  <c r="G156" i="3" l="1"/>
  <c r="F156" i="3"/>
  <c r="C158" i="3"/>
  <c r="D157" i="3"/>
  <c r="E157" i="3" s="1"/>
  <c r="G157" i="3" l="1"/>
  <c r="F157" i="3"/>
  <c r="C159" i="3"/>
  <c r="D158" i="3"/>
  <c r="E158" i="3" s="1"/>
  <c r="G158" i="3" l="1"/>
  <c r="F158" i="3"/>
  <c r="C160" i="3"/>
  <c r="D159" i="3"/>
  <c r="E159" i="3" s="1"/>
  <c r="C161" i="3" l="1"/>
  <c r="D160" i="3"/>
  <c r="E160" i="3" s="1"/>
  <c r="F159" i="3"/>
  <c r="G159" i="3"/>
  <c r="G160" i="3" l="1"/>
  <c r="F160" i="3"/>
  <c r="C162" i="3"/>
  <c r="D161" i="3"/>
  <c r="E161" i="3" s="1"/>
  <c r="C163" i="3" l="1"/>
  <c r="D162" i="3"/>
  <c r="E162" i="3" s="1"/>
  <c r="G161" i="3"/>
  <c r="F161" i="3"/>
  <c r="G162" i="3" l="1"/>
  <c r="F162" i="3"/>
  <c r="C164" i="3"/>
  <c r="D163" i="3"/>
  <c r="E163" i="3" s="1"/>
  <c r="C165" i="3" l="1"/>
  <c r="D164" i="3"/>
  <c r="E164" i="3" s="1"/>
  <c r="G163" i="3"/>
  <c r="F163" i="3"/>
  <c r="G164" i="3" l="1"/>
  <c r="F164" i="3"/>
  <c r="C166" i="3"/>
  <c r="D165" i="3"/>
  <c r="E165" i="3" s="1"/>
  <c r="G165" i="3" l="1"/>
  <c r="F165" i="3"/>
  <c r="C167" i="3"/>
  <c r="D166" i="3"/>
  <c r="E166" i="3" s="1"/>
  <c r="G166" i="3" l="1"/>
  <c r="F166" i="3"/>
  <c r="C168" i="3"/>
  <c r="D167" i="3"/>
  <c r="E167" i="3" s="1"/>
  <c r="G167" i="3" l="1"/>
  <c r="F167" i="3"/>
  <c r="C169" i="3"/>
  <c r="D168" i="3"/>
  <c r="E168" i="3" s="1"/>
  <c r="F168" i="3" l="1"/>
  <c r="G168" i="3"/>
  <c r="C170" i="3"/>
  <c r="D169" i="3"/>
  <c r="E169" i="3" s="1"/>
  <c r="F169" i="3" l="1"/>
  <c r="G169" i="3"/>
  <c r="C171" i="3"/>
  <c r="D170" i="3"/>
  <c r="E170" i="3" s="1"/>
  <c r="C172" i="3" l="1"/>
  <c r="D171" i="3"/>
  <c r="E171" i="3" s="1"/>
  <c r="G170" i="3"/>
  <c r="F170" i="3"/>
  <c r="G171" i="3" l="1"/>
  <c r="F171" i="3"/>
  <c r="C173" i="3"/>
  <c r="D172" i="3"/>
  <c r="E172" i="3" s="1"/>
  <c r="C174" i="3" l="1"/>
  <c r="D173" i="3"/>
  <c r="E173" i="3" s="1"/>
  <c r="G172" i="3"/>
  <c r="F172" i="3"/>
  <c r="G173" i="3" l="1"/>
  <c r="F173" i="3"/>
  <c r="C175" i="3"/>
  <c r="D174" i="3"/>
  <c r="E174" i="3" s="1"/>
  <c r="G174" i="3" l="1"/>
  <c r="F174" i="3"/>
  <c r="C176" i="3"/>
  <c r="D175" i="3"/>
  <c r="E175" i="3" s="1"/>
  <c r="F175" i="3" l="1"/>
  <c r="G175" i="3"/>
  <c r="C177" i="3"/>
  <c r="D176" i="3"/>
  <c r="E176" i="3" s="1"/>
  <c r="F176" i="3" l="1"/>
  <c r="G176" i="3"/>
  <c r="C178" i="3"/>
  <c r="D177" i="3"/>
  <c r="E177" i="3" s="1"/>
  <c r="G177" i="3" l="1"/>
  <c r="F177" i="3"/>
  <c r="C179" i="3"/>
  <c r="D178" i="3"/>
  <c r="E178" i="3" s="1"/>
  <c r="G178" i="3" l="1"/>
  <c r="F178" i="3"/>
  <c r="C180" i="3"/>
  <c r="D179" i="3"/>
  <c r="E179" i="3" s="1"/>
  <c r="G179" i="3" l="1"/>
  <c r="F179" i="3"/>
  <c r="C181" i="3"/>
  <c r="D180" i="3"/>
  <c r="E180" i="3" s="1"/>
  <c r="F180" i="3" l="1"/>
  <c r="G180" i="3"/>
  <c r="C182" i="3"/>
  <c r="D181" i="3"/>
  <c r="E181" i="3" s="1"/>
  <c r="G181" i="3" l="1"/>
  <c r="F181" i="3"/>
  <c r="C183" i="3"/>
  <c r="D182" i="3"/>
  <c r="E182" i="3" s="1"/>
  <c r="G182" i="3" l="1"/>
  <c r="F182" i="3"/>
  <c r="C184" i="3"/>
  <c r="D183" i="3"/>
  <c r="E183" i="3" s="1"/>
  <c r="G183" i="3" l="1"/>
  <c r="F183" i="3"/>
  <c r="C185" i="3"/>
  <c r="D184" i="3"/>
  <c r="E184" i="3" s="1"/>
  <c r="G184" i="3" l="1"/>
  <c r="F184" i="3"/>
  <c r="C186" i="3"/>
  <c r="D185" i="3"/>
  <c r="E185" i="3" s="1"/>
  <c r="G185" i="3" l="1"/>
  <c r="F185" i="3"/>
  <c r="C187" i="3"/>
  <c r="D186" i="3"/>
  <c r="E186" i="3" s="1"/>
  <c r="G186" i="3" l="1"/>
  <c r="F186" i="3"/>
  <c r="C188" i="3"/>
  <c r="D187" i="3"/>
  <c r="E187" i="3" s="1"/>
  <c r="C189" i="3" l="1"/>
  <c r="D188" i="3"/>
  <c r="E188" i="3" s="1"/>
  <c r="G187" i="3"/>
  <c r="F187" i="3"/>
  <c r="G188" i="3" l="1"/>
  <c r="F188" i="3"/>
  <c r="C190" i="3"/>
  <c r="D189" i="3"/>
  <c r="E189" i="3" s="1"/>
  <c r="G189" i="3" l="1"/>
  <c r="F189" i="3"/>
  <c r="C191" i="3"/>
  <c r="D190" i="3"/>
  <c r="E190" i="3" s="1"/>
  <c r="G190" i="3" l="1"/>
  <c r="F190" i="3"/>
  <c r="C192" i="3"/>
  <c r="D191" i="3"/>
  <c r="E191" i="3" s="1"/>
  <c r="C193" i="3" l="1"/>
  <c r="D192" i="3"/>
  <c r="E192" i="3" s="1"/>
  <c r="F191" i="3"/>
  <c r="G191" i="3"/>
  <c r="G192" i="3" l="1"/>
  <c r="F192" i="3"/>
  <c r="C194" i="3"/>
  <c r="D193" i="3"/>
  <c r="E193" i="3" s="1"/>
  <c r="C195" i="3" l="1"/>
  <c r="D194" i="3"/>
  <c r="E194" i="3" s="1"/>
  <c r="G193" i="3"/>
  <c r="F193" i="3"/>
  <c r="G194" i="3" l="1"/>
  <c r="F194" i="3"/>
  <c r="C196" i="3"/>
  <c r="D195" i="3"/>
  <c r="E195" i="3" s="1"/>
  <c r="G195" i="3" l="1"/>
  <c r="F195" i="3"/>
  <c r="C197" i="3"/>
  <c r="D196" i="3"/>
  <c r="E196" i="3" s="1"/>
  <c r="F196" i="3" l="1"/>
  <c r="G196" i="3"/>
  <c r="C198" i="3"/>
  <c r="D197" i="3"/>
  <c r="E197" i="3" s="1"/>
  <c r="F197" i="3" l="1"/>
  <c r="G197" i="3"/>
  <c r="C199" i="3"/>
  <c r="D198" i="3"/>
  <c r="E198" i="3" s="1"/>
  <c r="G198" i="3" l="1"/>
  <c r="F198" i="3"/>
  <c r="C200" i="3"/>
  <c r="D199" i="3"/>
  <c r="E199" i="3" s="1"/>
  <c r="G199" i="3" l="1"/>
  <c r="F199" i="3"/>
  <c r="C201" i="3"/>
  <c r="D200" i="3"/>
  <c r="E200" i="3" s="1"/>
  <c r="G200" i="3" l="1"/>
  <c r="F200" i="3"/>
  <c r="C202" i="3"/>
  <c r="D201" i="3"/>
  <c r="E201" i="3" s="1"/>
  <c r="F201" i="3" l="1"/>
  <c r="G201" i="3"/>
  <c r="C203" i="3"/>
  <c r="D202" i="3"/>
  <c r="E202" i="3" s="1"/>
  <c r="G202" i="3" l="1"/>
  <c r="F202" i="3"/>
  <c r="C204" i="3"/>
  <c r="D203" i="3"/>
  <c r="E203" i="3" s="1"/>
  <c r="G203" i="3" l="1"/>
  <c r="F203" i="3"/>
  <c r="C205" i="3"/>
  <c r="D204" i="3"/>
  <c r="E204" i="3" s="1"/>
  <c r="G204" i="3" l="1"/>
  <c r="F204" i="3"/>
  <c r="C206" i="3"/>
  <c r="D205" i="3"/>
  <c r="E205" i="3" s="1"/>
  <c r="G205" i="3" l="1"/>
  <c r="F205" i="3"/>
  <c r="C207" i="3"/>
  <c r="D206" i="3"/>
  <c r="E206" i="3" s="1"/>
  <c r="G206" i="3" l="1"/>
  <c r="F206" i="3"/>
  <c r="C208" i="3"/>
  <c r="D207" i="3"/>
  <c r="E207" i="3" s="1"/>
  <c r="G207" i="3" l="1"/>
  <c r="F207" i="3"/>
  <c r="C209" i="3"/>
  <c r="D208" i="3"/>
  <c r="E208" i="3" s="1"/>
  <c r="C210" i="3" l="1"/>
  <c r="D209" i="3"/>
  <c r="E209" i="3" s="1"/>
  <c r="G208" i="3"/>
  <c r="F208" i="3"/>
  <c r="G209" i="3" l="1"/>
  <c r="F209" i="3"/>
  <c r="C211" i="3"/>
  <c r="D210" i="3"/>
  <c r="E210" i="3" s="1"/>
  <c r="G210" i="3" l="1"/>
  <c r="F210" i="3"/>
  <c r="C212" i="3"/>
  <c r="D211" i="3"/>
  <c r="E211" i="3" s="1"/>
  <c r="F211" i="3" l="1"/>
  <c r="G211" i="3"/>
  <c r="C213" i="3"/>
  <c r="D212" i="3"/>
  <c r="E212" i="3" s="1"/>
  <c r="F212" i="3" l="1"/>
  <c r="G212" i="3"/>
  <c r="C214" i="3"/>
  <c r="D213" i="3"/>
  <c r="E213" i="3" s="1"/>
  <c r="G213" i="3" l="1"/>
  <c r="F213" i="3"/>
  <c r="C215" i="3"/>
  <c r="D214" i="3"/>
  <c r="E214" i="3" s="1"/>
  <c r="C216" i="3" l="1"/>
  <c r="D215" i="3"/>
  <c r="E215" i="3" s="1"/>
  <c r="G214" i="3"/>
  <c r="F214" i="3"/>
  <c r="G215" i="3" l="1"/>
  <c r="F215" i="3"/>
  <c r="C217" i="3"/>
  <c r="D216" i="3"/>
  <c r="E216" i="3" s="1"/>
  <c r="C218" i="3" l="1"/>
  <c r="D217" i="3"/>
  <c r="E217" i="3" s="1"/>
  <c r="G216" i="3"/>
  <c r="F216" i="3"/>
  <c r="F217" i="3" l="1"/>
  <c r="G217" i="3"/>
  <c r="C219" i="3"/>
  <c r="D218" i="3"/>
  <c r="E218" i="3" s="1"/>
  <c r="C220" i="3" l="1"/>
  <c r="D219" i="3"/>
  <c r="E219" i="3" s="1"/>
  <c r="G218" i="3"/>
  <c r="F218" i="3"/>
  <c r="F219" i="3" l="1"/>
  <c r="G219" i="3"/>
  <c r="C221" i="3"/>
  <c r="D220" i="3"/>
  <c r="E220" i="3" s="1"/>
  <c r="G220" i="3" l="1"/>
  <c r="F220" i="3"/>
  <c r="C222" i="3"/>
  <c r="D221" i="3"/>
  <c r="E221" i="3" s="1"/>
  <c r="G221" i="3" l="1"/>
  <c r="F221" i="3"/>
  <c r="C223" i="3"/>
  <c r="D222" i="3"/>
  <c r="E222" i="3" s="1"/>
  <c r="G222" i="3" l="1"/>
  <c r="F222" i="3"/>
  <c r="C224" i="3"/>
  <c r="D223" i="3"/>
  <c r="E223" i="3" s="1"/>
  <c r="F223" i="3" l="1"/>
  <c r="G223" i="3"/>
  <c r="C225" i="3"/>
  <c r="D224" i="3"/>
  <c r="E224" i="3" s="1"/>
  <c r="C226" i="3" l="1"/>
  <c r="D225" i="3"/>
  <c r="E225" i="3" s="1"/>
  <c r="G224" i="3"/>
  <c r="F224" i="3"/>
  <c r="G225" i="3" l="1"/>
  <c r="F225" i="3"/>
  <c r="C227" i="3"/>
  <c r="D226" i="3"/>
  <c r="E226" i="3" s="1"/>
  <c r="G226" i="3" l="1"/>
  <c r="F226" i="3"/>
  <c r="C228" i="3"/>
  <c r="D227" i="3"/>
  <c r="E227" i="3" s="1"/>
  <c r="F227" i="3" l="1"/>
  <c r="G227" i="3"/>
  <c r="C229" i="3"/>
  <c r="D228" i="3"/>
  <c r="E228" i="3" s="1"/>
  <c r="C230" i="3" l="1"/>
  <c r="D229" i="3"/>
  <c r="E229" i="3" s="1"/>
  <c r="G228" i="3"/>
  <c r="F228" i="3"/>
  <c r="G229" i="3" l="1"/>
  <c r="F229" i="3"/>
  <c r="C231" i="3"/>
  <c r="D230" i="3"/>
  <c r="E230" i="3" s="1"/>
  <c r="G230" i="3" l="1"/>
  <c r="F230" i="3"/>
  <c r="C232" i="3"/>
  <c r="D231" i="3"/>
  <c r="E231" i="3" s="1"/>
  <c r="C233" i="3" l="1"/>
  <c r="D232" i="3"/>
  <c r="E232" i="3" s="1"/>
  <c r="G231" i="3"/>
  <c r="F231" i="3"/>
  <c r="G232" i="3" l="1"/>
  <c r="F232" i="3"/>
  <c r="C234" i="3"/>
  <c r="D233" i="3"/>
  <c r="E233" i="3" s="1"/>
  <c r="C235" i="3" l="1"/>
  <c r="D234" i="3"/>
  <c r="E234" i="3" s="1"/>
  <c r="F233" i="3"/>
  <c r="G233" i="3"/>
  <c r="G234" i="3" l="1"/>
  <c r="F234" i="3"/>
  <c r="C236" i="3"/>
  <c r="D235" i="3"/>
  <c r="E235" i="3" s="1"/>
  <c r="C237" i="3" l="1"/>
  <c r="D236" i="3"/>
  <c r="E236" i="3" s="1"/>
  <c r="G235" i="3"/>
  <c r="F235" i="3"/>
  <c r="G236" i="3" l="1"/>
  <c r="F236" i="3"/>
  <c r="C238" i="3"/>
  <c r="D237" i="3"/>
  <c r="E237" i="3" s="1"/>
  <c r="G237" i="3" l="1"/>
  <c r="F237" i="3"/>
  <c r="C239" i="3"/>
  <c r="D238" i="3"/>
  <c r="E238" i="3" s="1"/>
  <c r="G238" i="3" l="1"/>
  <c r="F238" i="3"/>
  <c r="C240" i="3"/>
  <c r="D239" i="3"/>
  <c r="E239" i="3" s="1"/>
  <c r="F239" i="3" l="1"/>
  <c r="G239" i="3"/>
  <c r="C241" i="3"/>
  <c r="D240" i="3"/>
  <c r="E240" i="3" s="1"/>
  <c r="G240" i="3" l="1"/>
  <c r="F240" i="3"/>
  <c r="C242" i="3"/>
  <c r="D241" i="3"/>
  <c r="E241" i="3" s="1"/>
  <c r="G241" i="3" l="1"/>
  <c r="F241" i="3"/>
  <c r="C243" i="3"/>
  <c r="D242" i="3"/>
  <c r="E242" i="3" s="1"/>
  <c r="G242" i="3" l="1"/>
  <c r="F242" i="3"/>
  <c r="C244" i="3"/>
  <c r="D243" i="3"/>
  <c r="E243" i="3" s="1"/>
  <c r="C245" i="3" l="1"/>
  <c r="D244" i="3"/>
  <c r="E244" i="3" s="1"/>
  <c r="G243" i="3"/>
  <c r="F243" i="3"/>
  <c r="F244" i="3" l="1"/>
  <c r="G244" i="3"/>
  <c r="C246" i="3"/>
  <c r="D245" i="3"/>
  <c r="E245" i="3" s="1"/>
  <c r="C247" i="3" l="1"/>
  <c r="D246" i="3"/>
  <c r="E246" i="3" s="1"/>
  <c r="G245" i="3"/>
  <c r="F245" i="3"/>
  <c r="G246" i="3" l="1"/>
  <c r="F246" i="3"/>
  <c r="C248" i="3"/>
  <c r="D247" i="3"/>
  <c r="E247" i="3" s="1"/>
  <c r="G247" i="3" l="1"/>
  <c r="F247" i="3"/>
  <c r="C249" i="3"/>
  <c r="D248" i="3"/>
  <c r="E248" i="3" s="1"/>
  <c r="C250" i="3" l="1"/>
  <c r="D249" i="3"/>
  <c r="E249" i="3" s="1"/>
  <c r="G248" i="3"/>
  <c r="F248" i="3"/>
  <c r="G249" i="3" l="1"/>
  <c r="F249" i="3"/>
  <c r="C251" i="3"/>
  <c r="D250" i="3"/>
  <c r="E250" i="3" s="1"/>
  <c r="C252" i="3" l="1"/>
  <c r="D251" i="3"/>
  <c r="E251" i="3" s="1"/>
  <c r="G250" i="3"/>
  <c r="F250" i="3"/>
  <c r="G251" i="3" l="1"/>
  <c r="F251" i="3"/>
  <c r="C253" i="3"/>
  <c r="D252" i="3"/>
  <c r="E252" i="3" s="1"/>
  <c r="G252" i="3" l="1"/>
  <c r="F252" i="3"/>
  <c r="C254" i="3"/>
  <c r="D253" i="3"/>
  <c r="E253" i="3" s="1"/>
  <c r="F253" i="3" l="1"/>
  <c r="G253" i="3"/>
  <c r="C255" i="3"/>
  <c r="D254" i="3"/>
  <c r="E254" i="3" s="1"/>
  <c r="G254" i="3" l="1"/>
  <c r="F254" i="3"/>
  <c r="C256" i="3"/>
  <c r="D255" i="3"/>
  <c r="E255" i="3" s="1"/>
  <c r="F255" i="3" l="1"/>
  <c r="G255" i="3"/>
  <c r="C257" i="3"/>
  <c r="D256" i="3"/>
  <c r="E256" i="3" s="1"/>
  <c r="C258" i="3" l="1"/>
  <c r="D257" i="3"/>
  <c r="E257" i="3" s="1"/>
  <c r="G256" i="3"/>
  <c r="F256" i="3"/>
  <c r="G257" i="3" l="1"/>
  <c r="F257" i="3"/>
  <c r="C259" i="3"/>
  <c r="D258" i="3"/>
  <c r="E258" i="3" s="1"/>
  <c r="C260" i="3" l="1"/>
  <c r="D259" i="3"/>
  <c r="E259" i="3" s="1"/>
  <c r="G258" i="3"/>
  <c r="F258" i="3"/>
  <c r="G259" i="3" l="1"/>
  <c r="F259" i="3"/>
  <c r="C261" i="3"/>
  <c r="D260" i="3"/>
  <c r="E260" i="3" s="1"/>
  <c r="F260" i="3" l="1"/>
  <c r="G260" i="3"/>
  <c r="C262" i="3"/>
  <c r="D261" i="3"/>
  <c r="E261" i="3" s="1"/>
  <c r="F261" i="3" l="1"/>
  <c r="G261" i="3"/>
  <c r="C263" i="3"/>
  <c r="D262" i="3"/>
  <c r="E262" i="3" s="1"/>
  <c r="G262" i="3" l="1"/>
  <c r="F262" i="3"/>
  <c r="C264" i="3"/>
  <c r="D263" i="3"/>
  <c r="E263" i="3" s="1"/>
  <c r="C265" i="3" l="1"/>
  <c r="D264" i="3"/>
  <c r="E264" i="3" s="1"/>
  <c r="G263" i="3"/>
  <c r="F263" i="3"/>
  <c r="G264" i="3" l="1"/>
  <c r="F264" i="3"/>
  <c r="C266" i="3"/>
  <c r="D265" i="3"/>
  <c r="E265" i="3" s="1"/>
  <c r="F265" i="3" l="1"/>
  <c r="G265" i="3"/>
  <c r="C267" i="3"/>
  <c r="D266" i="3"/>
  <c r="E266" i="3" s="1"/>
  <c r="G266" i="3" l="1"/>
  <c r="F266" i="3"/>
  <c r="C268" i="3"/>
  <c r="D267" i="3"/>
  <c r="E267" i="3" s="1"/>
  <c r="G267" i="3" l="1"/>
  <c r="F267" i="3"/>
  <c r="C269" i="3"/>
  <c r="D268" i="3"/>
  <c r="E268" i="3" s="1"/>
  <c r="G268" i="3" l="1"/>
  <c r="F268" i="3"/>
  <c r="C270" i="3"/>
  <c r="D269" i="3"/>
  <c r="E269" i="3" s="1"/>
  <c r="F269" i="3" l="1"/>
  <c r="G269" i="3"/>
  <c r="C271" i="3"/>
  <c r="D270" i="3"/>
  <c r="E270" i="3" s="1"/>
  <c r="G270" i="3" l="1"/>
  <c r="F270" i="3"/>
  <c r="C272" i="3"/>
  <c r="D271" i="3"/>
  <c r="E271" i="3" s="1"/>
  <c r="C273" i="3" l="1"/>
  <c r="D272" i="3"/>
  <c r="E272" i="3" s="1"/>
  <c r="G271" i="3"/>
  <c r="F271" i="3"/>
  <c r="G272" i="3" l="1"/>
  <c r="F272" i="3"/>
  <c r="C274" i="3"/>
  <c r="D273" i="3"/>
  <c r="E273" i="3" s="1"/>
  <c r="C275" i="3" l="1"/>
  <c r="D274" i="3"/>
  <c r="E274" i="3" s="1"/>
  <c r="G273" i="3"/>
  <c r="F273" i="3"/>
  <c r="G274" i="3" l="1"/>
  <c r="F274" i="3"/>
  <c r="C276" i="3"/>
  <c r="D275" i="3"/>
  <c r="E275" i="3" s="1"/>
  <c r="C277" i="3" l="1"/>
  <c r="D276" i="3"/>
  <c r="E276" i="3" s="1"/>
  <c r="G275" i="3"/>
  <c r="F275" i="3"/>
  <c r="F276" i="3" l="1"/>
  <c r="G276" i="3"/>
  <c r="C278" i="3"/>
  <c r="D277" i="3"/>
  <c r="E277" i="3" s="1"/>
  <c r="G277" i="3" l="1"/>
  <c r="F277" i="3"/>
  <c r="C279" i="3"/>
  <c r="D278" i="3"/>
  <c r="E278" i="3" s="1"/>
  <c r="G278" i="3" l="1"/>
  <c r="F278" i="3"/>
  <c r="C280" i="3"/>
  <c r="D279" i="3"/>
  <c r="E279" i="3" s="1"/>
  <c r="G279" i="3" l="1"/>
  <c r="F279" i="3"/>
  <c r="C281" i="3"/>
  <c r="D280" i="3"/>
  <c r="E280" i="3" s="1"/>
  <c r="G280" i="3" l="1"/>
  <c r="F280" i="3"/>
  <c r="C282" i="3"/>
  <c r="D281" i="3"/>
  <c r="E281" i="3" s="1"/>
  <c r="F281" i="3" l="1"/>
  <c r="G281" i="3"/>
  <c r="C283" i="3"/>
  <c r="D282" i="3"/>
  <c r="E282" i="3" s="1"/>
  <c r="G282" i="3" l="1"/>
  <c r="F282" i="3"/>
  <c r="C284" i="3"/>
  <c r="D283" i="3"/>
  <c r="E283" i="3" s="1"/>
  <c r="C285" i="3" l="1"/>
  <c r="D284" i="3"/>
  <c r="E284" i="3" s="1"/>
  <c r="G283" i="3"/>
  <c r="F283" i="3"/>
  <c r="G284" i="3" l="1"/>
  <c r="F284" i="3"/>
  <c r="C286" i="3"/>
  <c r="D285" i="3"/>
  <c r="E285" i="3" s="1"/>
  <c r="C287" i="3" l="1"/>
  <c r="D286" i="3"/>
  <c r="E286" i="3" s="1"/>
  <c r="G285" i="3"/>
  <c r="F285" i="3"/>
  <c r="G286" i="3" l="1"/>
  <c r="F286" i="3"/>
  <c r="C288" i="3"/>
  <c r="D287" i="3"/>
  <c r="E287" i="3" s="1"/>
  <c r="C289" i="3" l="1"/>
  <c r="D288" i="3"/>
  <c r="E288" i="3" s="1"/>
  <c r="F287" i="3"/>
  <c r="G287" i="3"/>
  <c r="G288" i="3" l="1"/>
  <c r="F288" i="3"/>
  <c r="C290" i="3"/>
  <c r="D289" i="3"/>
  <c r="E289" i="3" s="1"/>
  <c r="C291" i="3" l="1"/>
  <c r="D290" i="3"/>
  <c r="E290" i="3" s="1"/>
  <c r="G289" i="3"/>
  <c r="F289" i="3"/>
  <c r="G290" i="3" l="1"/>
  <c r="F290" i="3"/>
  <c r="C292" i="3"/>
  <c r="D291" i="3"/>
  <c r="E291" i="3" s="1"/>
  <c r="F291" i="3" l="1"/>
  <c r="G291" i="3"/>
  <c r="C293" i="3"/>
  <c r="D292" i="3"/>
  <c r="E292" i="3" s="1"/>
  <c r="G292" i="3" l="1"/>
  <c r="F292" i="3"/>
  <c r="C294" i="3"/>
  <c r="D293" i="3"/>
  <c r="E293" i="3" s="1"/>
  <c r="G293" i="3" l="1"/>
  <c r="F293" i="3"/>
  <c r="C295" i="3"/>
  <c r="D294" i="3"/>
  <c r="E294" i="3" s="1"/>
  <c r="G294" i="3" l="1"/>
  <c r="F294" i="3"/>
  <c r="C296" i="3"/>
  <c r="D295" i="3"/>
  <c r="E295" i="3" s="1"/>
  <c r="G295" i="3" l="1"/>
  <c r="F295" i="3"/>
  <c r="C297" i="3"/>
  <c r="D296" i="3"/>
  <c r="E296" i="3" s="1"/>
  <c r="F296" i="3" l="1"/>
  <c r="G296" i="3"/>
  <c r="C298" i="3"/>
  <c r="D297" i="3"/>
  <c r="E297" i="3" s="1"/>
  <c r="F297" i="3" l="1"/>
  <c r="G297" i="3"/>
  <c r="C299" i="3"/>
  <c r="D298" i="3"/>
  <c r="E298" i="3" s="1"/>
  <c r="G298" i="3" l="1"/>
  <c r="F298" i="3"/>
  <c r="C300" i="3"/>
  <c r="D299" i="3"/>
  <c r="E299" i="3" s="1"/>
  <c r="G299" i="3" l="1"/>
  <c r="F299" i="3"/>
  <c r="C301" i="3"/>
  <c r="D300" i="3"/>
  <c r="E300" i="3" s="1"/>
  <c r="C302" i="3" l="1"/>
  <c r="D301" i="3"/>
  <c r="E301" i="3" s="1"/>
  <c r="G300" i="3"/>
  <c r="F300" i="3"/>
  <c r="G301" i="3" l="1"/>
  <c r="F301" i="3"/>
  <c r="C303" i="3"/>
  <c r="D302" i="3"/>
  <c r="E302" i="3" s="1"/>
  <c r="C304" i="3" l="1"/>
  <c r="D303" i="3"/>
  <c r="E303" i="3" s="1"/>
  <c r="G302" i="3"/>
  <c r="F302" i="3"/>
  <c r="F303" i="3" l="1"/>
  <c r="G303" i="3"/>
  <c r="C305" i="3"/>
  <c r="D304" i="3"/>
  <c r="E304" i="3" s="1"/>
  <c r="F304" i="3" l="1"/>
  <c r="G304" i="3"/>
  <c r="C306" i="3"/>
  <c r="D305" i="3"/>
  <c r="E305" i="3" s="1"/>
  <c r="C307" i="3" l="1"/>
  <c r="D306" i="3"/>
  <c r="E306" i="3" s="1"/>
  <c r="G305" i="3"/>
  <c r="F305" i="3"/>
  <c r="G306" i="3" l="1"/>
  <c r="F306" i="3"/>
  <c r="C308" i="3"/>
  <c r="D307" i="3"/>
  <c r="E307" i="3" s="1"/>
  <c r="C309" i="3" l="1"/>
  <c r="D308" i="3"/>
  <c r="E308" i="3" s="1"/>
  <c r="G307" i="3"/>
  <c r="F307" i="3"/>
  <c r="F308" i="3" l="1"/>
  <c r="G308" i="3"/>
  <c r="C310" i="3"/>
  <c r="D309" i="3"/>
  <c r="E309" i="3" s="1"/>
  <c r="G309" i="3" l="1"/>
  <c r="F309" i="3"/>
  <c r="C311" i="3"/>
  <c r="D310" i="3"/>
  <c r="E310" i="3" s="1"/>
  <c r="G310" i="3" l="1"/>
  <c r="F310" i="3"/>
  <c r="C312" i="3"/>
  <c r="D311" i="3"/>
  <c r="E311" i="3" s="1"/>
  <c r="C313" i="3" l="1"/>
  <c r="D312" i="3"/>
  <c r="E312" i="3" s="1"/>
  <c r="G311" i="3"/>
  <c r="F311" i="3"/>
  <c r="G312" i="3" l="1"/>
  <c r="F312" i="3"/>
  <c r="C314" i="3"/>
  <c r="D313" i="3"/>
  <c r="E313" i="3" s="1"/>
  <c r="G313" i="3" l="1"/>
  <c r="F313" i="3"/>
  <c r="C315" i="3"/>
  <c r="D314" i="3"/>
  <c r="E314" i="3" s="1"/>
  <c r="G314" i="3" l="1"/>
  <c r="F314" i="3"/>
  <c r="C316" i="3"/>
  <c r="D315" i="3"/>
  <c r="E315" i="3" s="1"/>
  <c r="C317" i="3" l="1"/>
  <c r="D316" i="3"/>
  <c r="E316" i="3" s="1"/>
  <c r="G315" i="3"/>
  <c r="F315" i="3"/>
  <c r="G316" i="3" l="1"/>
  <c r="F316" i="3"/>
  <c r="C318" i="3"/>
  <c r="D317" i="3"/>
  <c r="E317" i="3" s="1"/>
  <c r="F317" i="3" l="1"/>
  <c r="G317" i="3"/>
  <c r="C319" i="3"/>
  <c r="D318" i="3"/>
  <c r="E318" i="3" s="1"/>
  <c r="C320" i="3" l="1"/>
  <c r="D319" i="3"/>
  <c r="E319" i="3" s="1"/>
  <c r="G318" i="3"/>
  <c r="F318" i="3"/>
  <c r="F319" i="3" l="1"/>
  <c r="G319" i="3"/>
  <c r="C321" i="3"/>
  <c r="D320" i="3"/>
  <c r="E320" i="3" s="1"/>
  <c r="C322" i="3" l="1"/>
  <c r="D321" i="3"/>
  <c r="E321" i="3" s="1"/>
  <c r="G320" i="3"/>
  <c r="F320" i="3"/>
  <c r="G321" i="3" l="1"/>
  <c r="F321" i="3"/>
  <c r="C323" i="3"/>
  <c r="D322" i="3"/>
  <c r="E322" i="3" s="1"/>
  <c r="G322" i="3" l="1"/>
  <c r="F322" i="3"/>
  <c r="C324" i="3"/>
  <c r="D323" i="3"/>
  <c r="E323" i="3" s="1"/>
  <c r="C325" i="3" l="1"/>
  <c r="D324" i="3"/>
  <c r="E324" i="3" s="1"/>
  <c r="G323" i="3"/>
  <c r="F323" i="3"/>
  <c r="F324" i="3" l="1"/>
  <c r="G324" i="3"/>
  <c r="C326" i="3"/>
  <c r="D325" i="3"/>
  <c r="E325" i="3" s="1"/>
  <c r="C327" i="3" l="1"/>
  <c r="D326" i="3"/>
  <c r="E326" i="3" s="1"/>
  <c r="F325" i="3"/>
  <c r="G325" i="3"/>
  <c r="G326" i="3" l="1"/>
  <c r="F326" i="3"/>
  <c r="C328" i="3"/>
  <c r="D327" i="3"/>
  <c r="E327" i="3" s="1"/>
  <c r="C329" i="3" l="1"/>
  <c r="D328" i="3"/>
  <c r="E328" i="3" s="1"/>
  <c r="G327" i="3"/>
  <c r="F327" i="3"/>
  <c r="G328" i="3" l="1"/>
  <c r="F328" i="3"/>
  <c r="C330" i="3"/>
  <c r="D329" i="3"/>
  <c r="E329" i="3" s="1"/>
  <c r="F329" i="3" l="1"/>
  <c r="G329" i="3"/>
  <c r="C331" i="3"/>
  <c r="D330" i="3"/>
  <c r="E330" i="3" s="1"/>
  <c r="C332" i="3" l="1"/>
  <c r="D331" i="3"/>
  <c r="E331" i="3" s="1"/>
  <c r="G330" i="3"/>
  <c r="F330" i="3"/>
  <c r="F331" i="3" l="1"/>
  <c r="G331" i="3"/>
  <c r="C333" i="3"/>
  <c r="D332" i="3"/>
  <c r="E332" i="3" s="1"/>
  <c r="C334" i="3" l="1"/>
  <c r="D333" i="3"/>
  <c r="E333" i="3" s="1"/>
  <c r="G332" i="3"/>
  <c r="F332" i="3"/>
  <c r="G333" i="3" l="1"/>
  <c r="F333" i="3"/>
  <c r="C335" i="3"/>
  <c r="D334" i="3"/>
  <c r="E334" i="3" s="1"/>
  <c r="C336" i="3" l="1"/>
  <c r="D335" i="3"/>
  <c r="E335" i="3" s="1"/>
  <c r="G334" i="3"/>
  <c r="F334" i="3"/>
  <c r="G335" i="3" l="1"/>
  <c r="F335" i="3"/>
  <c r="C337" i="3"/>
  <c r="D336" i="3"/>
  <c r="E336" i="3" s="1"/>
  <c r="C338" i="3" l="1"/>
  <c r="D337" i="3"/>
  <c r="E337" i="3" s="1"/>
  <c r="G336" i="3"/>
  <c r="F336" i="3"/>
  <c r="G337" i="3" l="1"/>
  <c r="F337" i="3"/>
  <c r="C339" i="3"/>
  <c r="D338" i="3"/>
  <c r="E338" i="3" s="1"/>
  <c r="F338" i="3" l="1"/>
  <c r="G338" i="3"/>
  <c r="C340" i="3"/>
  <c r="D339" i="3"/>
  <c r="E339" i="3" s="1"/>
  <c r="C341" i="3" l="1"/>
  <c r="D340" i="3"/>
  <c r="E340" i="3" s="1"/>
  <c r="G339" i="3"/>
  <c r="F339" i="3"/>
  <c r="G340" i="3" l="1"/>
  <c r="F340" i="3"/>
  <c r="C342" i="3"/>
  <c r="D341" i="3"/>
  <c r="E341" i="3" s="1"/>
  <c r="G341" i="3" l="1"/>
  <c r="F341" i="3"/>
  <c r="C343" i="3"/>
  <c r="D342" i="3"/>
  <c r="E342" i="3" s="1"/>
  <c r="F342" i="3" l="1"/>
  <c r="G342" i="3"/>
  <c r="C344" i="3"/>
  <c r="D343" i="3"/>
  <c r="E343" i="3" s="1"/>
  <c r="C345" i="3" l="1"/>
  <c r="D344" i="3"/>
  <c r="E344" i="3" s="1"/>
  <c r="G343" i="3"/>
  <c r="F343" i="3"/>
  <c r="G344" i="3" l="1"/>
  <c r="F344" i="3"/>
  <c r="C346" i="3"/>
  <c r="D345" i="3"/>
  <c r="E345" i="3" s="1"/>
  <c r="C347" i="3" l="1"/>
  <c r="D346" i="3"/>
  <c r="E346" i="3" s="1"/>
  <c r="G345" i="3"/>
  <c r="F345" i="3"/>
  <c r="F346" i="3" l="1"/>
  <c r="G346" i="3"/>
  <c r="C348" i="3"/>
  <c r="D347" i="3"/>
  <c r="E347" i="3" s="1"/>
  <c r="C349" i="3" l="1"/>
  <c r="D348" i="3"/>
  <c r="E348" i="3" s="1"/>
  <c r="G347" i="3"/>
  <c r="F347" i="3"/>
  <c r="G348" i="3" l="1"/>
  <c r="F348" i="3"/>
  <c r="C350" i="3"/>
  <c r="D349" i="3"/>
  <c r="E349" i="3" s="1"/>
  <c r="C351" i="3" l="1"/>
  <c r="D350" i="3"/>
  <c r="E350" i="3" s="1"/>
  <c r="G349" i="3"/>
  <c r="F349" i="3"/>
  <c r="F350" i="3" l="1"/>
  <c r="G350" i="3"/>
  <c r="C352" i="3"/>
  <c r="D351" i="3"/>
  <c r="E351" i="3" s="1"/>
  <c r="C353" i="3" l="1"/>
  <c r="D352" i="3"/>
  <c r="E352" i="3" s="1"/>
  <c r="G351" i="3"/>
  <c r="F351" i="3"/>
  <c r="F352" i="3" l="1"/>
  <c r="G352" i="3"/>
  <c r="C354" i="3"/>
  <c r="D353" i="3"/>
  <c r="E353" i="3" s="1"/>
  <c r="G353" i="3" l="1"/>
  <c r="F353" i="3"/>
  <c r="C355" i="3"/>
  <c r="D354" i="3"/>
  <c r="E354" i="3" s="1"/>
  <c r="C356" i="3" l="1"/>
  <c r="D355" i="3"/>
  <c r="E355" i="3" s="1"/>
  <c r="F354" i="3"/>
  <c r="G354" i="3"/>
  <c r="G355" i="3" l="1"/>
  <c r="F355" i="3"/>
  <c r="C357" i="3"/>
  <c r="D356" i="3"/>
  <c r="E356" i="3" s="1"/>
  <c r="C358" i="3" l="1"/>
  <c r="D357" i="3"/>
  <c r="E357" i="3" s="1"/>
  <c r="G356" i="3"/>
  <c r="F356" i="3"/>
  <c r="G357" i="3" l="1"/>
  <c r="F357" i="3"/>
  <c r="C359" i="3"/>
  <c r="D358" i="3"/>
  <c r="E358" i="3" s="1"/>
  <c r="F358" i="3" l="1"/>
  <c r="G358" i="3"/>
  <c r="C360" i="3"/>
  <c r="D359" i="3"/>
  <c r="E359" i="3" s="1"/>
  <c r="G359" i="3" l="1"/>
  <c r="F359" i="3"/>
  <c r="C361" i="3"/>
  <c r="D360" i="3"/>
  <c r="E360" i="3" s="1"/>
  <c r="G360" i="3" l="1"/>
  <c r="F360" i="3"/>
  <c r="C362" i="3"/>
  <c r="D361" i="3"/>
  <c r="E361" i="3" s="1"/>
  <c r="G361" i="3" l="1"/>
  <c r="F361" i="3"/>
  <c r="C363" i="3"/>
  <c r="D362" i="3"/>
  <c r="E362" i="3" s="1"/>
  <c r="F362" i="3" l="1"/>
  <c r="G362" i="3"/>
  <c r="C364" i="3"/>
  <c r="D363" i="3"/>
  <c r="E363" i="3" s="1"/>
  <c r="C365" i="3" l="1"/>
  <c r="D364" i="3"/>
  <c r="E364" i="3" s="1"/>
  <c r="G363" i="3"/>
  <c r="F363" i="3"/>
  <c r="G364" i="3" l="1"/>
  <c r="F364" i="3"/>
  <c r="C366" i="3"/>
  <c r="D366" i="3" s="1"/>
  <c r="E366" i="3" s="1"/>
  <c r="D365" i="3"/>
  <c r="E365" i="3" s="1"/>
  <c r="G365" i="3" l="1"/>
  <c r="F365" i="3"/>
  <c r="F366" i="3"/>
  <c r="G366" i="3"/>
  <c r="K10" i="3" s="1"/>
  <c r="K11" i="3" s="1"/>
  <c r="K8" i="3"/>
</calcChain>
</file>

<file path=xl/sharedStrings.xml><?xml version="1.0" encoding="utf-8"?>
<sst xmlns="http://schemas.openxmlformats.org/spreadsheetml/2006/main" count="233" uniqueCount="49">
  <si>
    <t>Date</t>
  </si>
  <si>
    <t>Daily sales</t>
  </si>
  <si>
    <t>Naïve Approach</t>
  </si>
  <si>
    <t>Naive Error</t>
  </si>
  <si>
    <t>Absolute Error</t>
  </si>
  <si>
    <t>Absolute Squared Error</t>
  </si>
  <si>
    <t>Absolute Percentage Error</t>
  </si>
  <si>
    <t>MAE</t>
  </si>
  <si>
    <t>MSE</t>
  </si>
  <si>
    <t>MAPE</t>
  </si>
  <si>
    <t>Accuracy</t>
  </si>
  <si>
    <t>Moving Average Approach</t>
  </si>
  <si>
    <t>MA Error</t>
  </si>
  <si>
    <t>Exponential Smoothing Approach</t>
  </si>
  <si>
    <t>ES Error</t>
  </si>
  <si>
    <t>Period</t>
  </si>
  <si>
    <t>Linear forecast</t>
  </si>
  <si>
    <t>Months</t>
  </si>
  <si>
    <t>SLR Forecast</t>
  </si>
  <si>
    <t>SLR Forecast * Seasonality</t>
  </si>
  <si>
    <t>Intercept</t>
  </si>
  <si>
    <t>Slope</t>
  </si>
  <si>
    <t>Seasonality Index</t>
  </si>
  <si>
    <t>Monthly Mean</t>
  </si>
  <si>
    <t>Annual Average</t>
  </si>
  <si>
    <t>Seasonlity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</si>
  <si>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</si>
  <si>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</si>
  <si>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</si>
  <si>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</si>
  <si>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</si>
  <si>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</si>
  <si>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</si>
  <si>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</si>
  <si>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</si>
  <si>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</si>
  <si>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</si>
  <si>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</si>
  <si>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Seasonality</t>
  </si>
  <si>
    <t>Month</t>
  </si>
  <si>
    <t>Sales</t>
  </si>
  <si>
    <t>Moving Average</t>
  </si>
  <si>
    <t>Exponential Smoothing</t>
  </si>
  <si>
    <t>Naïve</t>
  </si>
  <si>
    <t>Linear</t>
  </si>
  <si>
    <t>SLR with Seasonality</t>
  </si>
  <si>
    <t>Models</t>
  </si>
  <si>
    <t>MONTHLY FORECAST</t>
  </si>
  <si>
    <t>DAILY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</si>
</sst>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0.0%"/>
    <numFmt numFmtId="166" formatCode="0.000"/>
    <numFmt numFmtId="167" formatCode="0.0000"/>
  </numFmts>
  <fonts count="9">
    <font>
      <sz val="12"/>
      <color theme="1"/>
      <name val="Calibri"/>
      <scheme val="minor"/>
    </font>
    <font>
      <b/>
      <sz val="10"/>
      <color rgb="FF000000"/>
      <name val="Arimo"/>
    </font>
    <font>
      <b/>
      <sz val="12"/>
      <color theme="1"/>
      <name val="Calibri"/>
      <family val="2"/>
    </font>
    <font>
      <sz val="10"/>
      <color rgb="FF000000"/>
      <name val="Arimo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0" fontId="4" fillId="0" borderId="0" xfId="0" applyFont="1"/>
    <xf numFmtId="9" fontId="5" fillId="0" borderId="0" xfId="0" applyNumberFormat="1" applyFont="1"/>
    <xf numFmtId="0" fontId="2" fillId="0" borderId="1" xfId="0" applyFont="1" applyBorder="1"/>
    <xf numFmtId="2" fontId="5" fillId="0" borderId="1" xfId="0" applyNumberFormat="1" applyFont="1" applyBorder="1"/>
    <xf numFmtId="2" fontId="5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1" fontId="2" fillId="0" borderId="0" xfId="0" applyNumberFormat="1" applyFont="1"/>
    <xf numFmtId="2" fontId="2" fillId="0" borderId="0" xfId="0" applyNumberFormat="1" applyFont="1"/>
    <xf numFmtId="1" fontId="5" fillId="0" borderId="0" xfId="0" applyNumberFormat="1" applyFont="1"/>
    <xf numFmtId="0" fontId="2" fillId="0" borderId="4" xfId="0" applyFont="1" applyBorder="1"/>
    <xf numFmtId="0" fontId="5" fillId="0" borderId="1" xfId="0" applyFont="1" applyBorder="1"/>
    <xf numFmtId="0" fontId="5" fillId="0" borderId="4" xfId="0" applyFont="1" applyBorder="1"/>
    <xf numFmtId="0" fontId="6" fillId="2" borderId="5" xfId="0" applyFont="1" applyFill="1" applyBorder="1"/>
    <xf numFmtId="0" fontId="5" fillId="0" borderId="0" xfId="0" applyFont="1"/>
    <xf numFmtId="1" fontId="5" fillId="0" borderId="4" xfId="0" applyNumberFormat="1" applyFont="1" applyBorder="1"/>
    <xf numFmtId="2" fontId="5" fillId="0" borderId="4" xfId="0" applyNumberFormat="1" applyFont="1" applyBorder="1"/>
    <xf numFmtId="165" fontId="5" fillId="0" borderId="0" xfId="0" applyNumberFormat="1" applyFont="1"/>
    <xf numFmtId="9" fontId="5" fillId="0" borderId="0" xfId="1" applyFont="1"/>
    <xf numFmtId="1" fontId="0" fillId="0" borderId="0" xfId="0" applyNumberFormat="1" applyFont="1" applyAlignment="1"/>
    <xf numFmtId="9" fontId="5" fillId="0" borderId="3" xfId="0" applyNumberFormat="1" applyFont="1" applyBorder="1"/>
    <xf numFmtId="167" fontId="5" fillId="0" borderId="0" xfId="0" applyNumberFormat="1" applyFont="1"/>
    <xf numFmtId="165" fontId="5" fillId="0" borderId="2" xfId="0" applyNumberFormat="1" applyFont="1" applyBorder="1"/>
    <xf numFmtId="165" fontId="5" fillId="0" borderId="4" xfId="0" applyNumberFormat="1" applyFont="1" applyBorder="1"/>
    <xf numFmtId="166" fontId="0" fillId="0" borderId="0" xfId="0" applyNumberFormat="1" applyFont="1" applyAlignment="1"/>
    <xf numFmtId="2" fontId="0" fillId="0" borderId="0" xfId="0" applyNumberFormat="1" applyFont="1" applyAlignment="1"/>
    <xf numFmtId="9" fontId="0" fillId="0" borderId="0" xfId="1" applyFont="1" applyAlignment="1"/>
    <xf numFmtId="0" fontId="4" fillId="0" borderId="0" xfId="0" applyFont="1" applyAlignment="1"/>
    <xf numFmtId="167" fontId="5" fillId="0" borderId="4" xfId="0" applyNumberFormat="1" applyFont="1" applyBorder="1"/>
    <xf numFmtId="165" fontId="0" fillId="0" borderId="0" xfId="1" applyNumberFormat="1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517E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 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7C-4F54-BE9A-20A528ADBB84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 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32.9</c:v>
                </c:pt>
                <c:pt idx="3">
                  <c:v>30.869999999999997</c:v>
                </c:pt>
                <c:pt idx="4">
                  <c:v>30.960999999999999</c:v>
                </c:pt>
                <c:pt idx="5">
                  <c:v>40.088299999999997</c:v>
                </c:pt>
                <c:pt idx="6">
                  <c:v>32.326489999999993</c:v>
                </c:pt>
                <c:pt idx="7">
                  <c:v>41.197946999999992</c:v>
                </c:pt>
                <c:pt idx="8">
                  <c:v>42.459384099999994</c:v>
                </c:pt>
                <c:pt idx="9">
                  <c:v>39.337815229999997</c:v>
                </c:pt>
                <c:pt idx="10">
                  <c:v>30.701344569</c:v>
                </c:pt>
                <c:pt idx="11">
                  <c:v>35.810403370700001</c:v>
                </c:pt>
                <c:pt idx="12">
                  <c:v>33.843121011210002</c:v>
                </c:pt>
                <c:pt idx="13">
                  <c:v>48.652936303362999</c:v>
                </c:pt>
                <c:pt idx="14">
                  <c:v>47.495880891008895</c:v>
                </c:pt>
                <c:pt idx="15">
                  <c:v>45.748764267302661</c:v>
                </c:pt>
                <c:pt idx="16">
                  <c:v>39.624629280190796</c:v>
                </c:pt>
                <c:pt idx="17">
                  <c:v>46.887388784057237</c:v>
                </c:pt>
                <c:pt idx="18">
                  <c:v>44.166216635217168</c:v>
                </c:pt>
                <c:pt idx="19">
                  <c:v>41.949864990565146</c:v>
                </c:pt>
                <c:pt idx="20">
                  <c:v>48.984959497169541</c:v>
                </c:pt>
                <c:pt idx="21">
                  <c:v>38.495487849150862</c:v>
                </c:pt>
                <c:pt idx="22">
                  <c:v>48.648646354745253</c:v>
                </c:pt>
                <c:pt idx="23">
                  <c:v>41.894593906423573</c:v>
                </c:pt>
                <c:pt idx="24">
                  <c:v>34.968378171927071</c:v>
                </c:pt>
                <c:pt idx="25">
                  <c:v>36.390513451578116</c:v>
                </c:pt>
                <c:pt idx="26">
                  <c:v>41.017154035473432</c:v>
                </c:pt>
                <c:pt idx="27">
                  <c:v>39.605146210642026</c:v>
                </c:pt>
                <c:pt idx="28">
                  <c:v>36.381543863192604</c:v>
                </c:pt>
                <c:pt idx="29">
                  <c:v>41.714463158957777</c:v>
                </c:pt>
                <c:pt idx="30">
                  <c:v>39.11433894768733</c:v>
                </c:pt>
                <c:pt idx="31">
                  <c:v>28.534301684306193</c:v>
                </c:pt>
                <c:pt idx="32">
                  <c:v>24.660290505291854</c:v>
                </c:pt>
                <c:pt idx="33">
                  <c:v>29.098087151587556</c:v>
                </c:pt>
                <c:pt idx="34">
                  <c:v>39.529426145476265</c:v>
                </c:pt>
                <c:pt idx="35">
                  <c:v>38.458827843642879</c:v>
                </c:pt>
                <c:pt idx="36">
                  <c:v>46.537648353092862</c:v>
                </c:pt>
                <c:pt idx="37">
                  <c:v>40.561294505927854</c:v>
                </c:pt>
                <c:pt idx="38">
                  <c:v>47.86838835177835</c:v>
                </c:pt>
                <c:pt idx="39">
                  <c:v>36.060516505533506</c:v>
                </c:pt>
                <c:pt idx="40">
                  <c:v>32.518154951660051</c:v>
                </c:pt>
                <c:pt idx="41">
                  <c:v>45.455446485498008</c:v>
                </c:pt>
                <c:pt idx="42">
                  <c:v>38.836633945649403</c:v>
                </c:pt>
                <c:pt idx="43">
                  <c:v>43.150990183694816</c:v>
                </c:pt>
                <c:pt idx="44">
                  <c:v>48.645297055108443</c:v>
                </c:pt>
                <c:pt idx="45">
                  <c:v>38.393589116532532</c:v>
                </c:pt>
                <c:pt idx="46">
                  <c:v>47.918076734959755</c:v>
                </c:pt>
                <c:pt idx="47">
                  <c:v>47.275423020487921</c:v>
                </c:pt>
                <c:pt idx="48">
                  <c:v>45.682626906146375</c:v>
                </c:pt>
                <c:pt idx="49">
                  <c:v>45.90478807184391</c:v>
                </c:pt>
                <c:pt idx="50">
                  <c:v>41.071436421553173</c:v>
                </c:pt>
                <c:pt idx="51">
                  <c:v>45.921430926465945</c:v>
                </c:pt>
                <c:pt idx="52">
                  <c:v>39.676429277939782</c:v>
                </c:pt>
                <c:pt idx="53">
                  <c:v>36.402928783381938</c:v>
                </c:pt>
                <c:pt idx="54">
                  <c:v>47.32087863501458</c:v>
                </c:pt>
                <c:pt idx="55">
                  <c:v>43.596263590504371</c:v>
                </c:pt>
                <c:pt idx="56">
                  <c:v>44.578879077151306</c:v>
                </c:pt>
                <c:pt idx="57">
                  <c:v>40.673663723145388</c:v>
                </c:pt>
                <c:pt idx="58">
                  <c:v>38.102099116943613</c:v>
                </c:pt>
                <c:pt idx="59">
                  <c:v>32.430629735083087</c:v>
                </c:pt>
                <c:pt idx="60">
                  <c:v>34.229188920524926</c:v>
                </c:pt>
                <c:pt idx="61">
                  <c:v>29.868756676157474</c:v>
                </c:pt>
                <c:pt idx="62">
                  <c:v>40.460627002847239</c:v>
                </c:pt>
                <c:pt idx="63">
                  <c:v>35.93818810085417</c:v>
                </c:pt>
                <c:pt idx="64">
                  <c:v>35.981456430256252</c:v>
                </c:pt>
                <c:pt idx="65">
                  <c:v>45.794436929076873</c:v>
                </c:pt>
                <c:pt idx="66">
                  <c:v>44.538331078723061</c:v>
                </c:pt>
                <c:pt idx="67">
                  <c:v>40.661499323616916</c:v>
                </c:pt>
                <c:pt idx="68">
                  <c:v>34.598449797085074</c:v>
                </c:pt>
                <c:pt idx="69">
                  <c:v>37.679534939125517</c:v>
                </c:pt>
                <c:pt idx="70">
                  <c:v>42.803860481737651</c:v>
                </c:pt>
                <c:pt idx="71">
                  <c:v>42.941158144521296</c:v>
                </c:pt>
                <c:pt idx="72">
                  <c:v>40.182347443356385</c:v>
                </c:pt>
                <c:pt idx="73">
                  <c:v>33.754704233006912</c:v>
                </c:pt>
                <c:pt idx="74">
                  <c:v>29.02641126990207</c:v>
                </c:pt>
                <c:pt idx="75">
                  <c:v>29.70792338097062</c:v>
                </c:pt>
                <c:pt idx="76">
                  <c:v>38.312377014291187</c:v>
                </c:pt>
                <c:pt idx="77">
                  <c:v>43.693713104287355</c:v>
                </c:pt>
                <c:pt idx="78">
                  <c:v>41.808113931286208</c:v>
                </c:pt>
                <c:pt idx="79">
                  <c:v>37.74243417938586</c:v>
                </c:pt>
                <c:pt idx="80">
                  <c:v>42.822730253815756</c:v>
                </c:pt>
                <c:pt idx="81">
                  <c:v>45.046819076144722</c:v>
                </c:pt>
                <c:pt idx="82">
                  <c:v>43.614045722843414</c:v>
                </c:pt>
                <c:pt idx="83">
                  <c:v>39.684213716853023</c:v>
                </c:pt>
                <c:pt idx="84">
                  <c:v>35.705264115055904</c:v>
                </c:pt>
                <c:pt idx="85">
                  <c:v>35.211579234516769</c:v>
                </c:pt>
                <c:pt idx="86">
                  <c:v>49.763473770355027</c:v>
                </c:pt>
                <c:pt idx="87">
                  <c:v>40.129042131106509</c:v>
                </c:pt>
                <c:pt idx="88">
                  <c:v>34.438712639331953</c:v>
                </c:pt>
                <c:pt idx="89">
                  <c:v>45.331613791799583</c:v>
                </c:pt>
                <c:pt idx="90">
                  <c:v>42.299484137539878</c:v>
                </c:pt>
                <c:pt idx="91">
                  <c:v>39.98984524126196</c:v>
                </c:pt>
                <c:pt idx="92">
                  <c:v>40.69695357237859</c:v>
                </c:pt>
                <c:pt idx="93">
                  <c:v>45.109086071713577</c:v>
                </c:pt>
                <c:pt idx="94">
                  <c:v>37.332725821514067</c:v>
                </c:pt>
                <c:pt idx="95">
                  <c:v>36.399817746454218</c:v>
                </c:pt>
                <c:pt idx="96">
                  <c:v>34.019945323936263</c:v>
                </c:pt>
                <c:pt idx="97">
                  <c:v>34.705983597180875</c:v>
                </c:pt>
                <c:pt idx="98">
                  <c:v>37.011795079154261</c:v>
                </c:pt>
                <c:pt idx="99">
                  <c:v>37.703538523746275</c:v>
                </c:pt>
                <c:pt idx="100">
                  <c:v>35.111061557123875</c:v>
                </c:pt>
                <c:pt idx="101">
                  <c:v>47.633318467137158</c:v>
                </c:pt>
                <c:pt idx="102">
                  <c:v>38.089995540141146</c:v>
                </c:pt>
                <c:pt idx="103">
                  <c:v>35.226998662042341</c:v>
                </c:pt>
                <c:pt idx="104">
                  <c:v>37.168099598612699</c:v>
                </c:pt>
                <c:pt idx="105">
                  <c:v>35.650429879583811</c:v>
                </c:pt>
                <c:pt idx="106">
                  <c:v>33.09512896387514</c:v>
                </c:pt>
                <c:pt idx="107">
                  <c:v>39.328538689162542</c:v>
                </c:pt>
                <c:pt idx="108">
                  <c:v>35.59856160674876</c:v>
                </c:pt>
                <c:pt idx="109">
                  <c:v>42.879568482024624</c:v>
                </c:pt>
                <c:pt idx="110">
                  <c:v>33.863870544607387</c:v>
                </c:pt>
                <c:pt idx="111">
                  <c:v>42.359161163382211</c:v>
                </c:pt>
                <c:pt idx="112">
                  <c:v>44.207748349014658</c:v>
                </c:pt>
                <c:pt idx="113">
                  <c:v>51.062324504704392</c:v>
                </c:pt>
                <c:pt idx="114">
                  <c:v>39.118697351411313</c:v>
                </c:pt>
                <c:pt idx="115">
                  <c:v>37.635609205423393</c:v>
                </c:pt>
                <c:pt idx="116">
                  <c:v>35.790682761627018</c:v>
                </c:pt>
                <c:pt idx="117">
                  <c:v>38.737204828488103</c:v>
                </c:pt>
                <c:pt idx="118">
                  <c:v>41.02116144854643</c:v>
                </c:pt>
                <c:pt idx="119">
                  <c:v>52.906348434563924</c:v>
                </c:pt>
                <c:pt idx="120">
                  <c:v>51.571904530369174</c:v>
                </c:pt>
                <c:pt idx="121">
                  <c:v>37.871571359110746</c:v>
                </c:pt>
                <c:pt idx="122">
                  <c:v>35.86147140773322</c:v>
                </c:pt>
                <c:pt idx="123">
                  <c:v>37.358441422319963</c:v>
                </c:pt>
                <c:pt idx="124">
                  <c:v>34.307532426695985</c:v>
                </c:pt>
                <c:pt idx="125">
                  <c:v>37.592259728008791</c:v>
                </c:pt>
                <c:pt idx="126">
                  <c:v>44.177677918402637</c:v>
                </c:pt>
                <c:pt idx="127">
                  <c:v>39.853303375520788</c:v>
                </c:pt>
                <c:pt idx="128">
                  <c:v>48.355991012656233</c:v>
                </c:pt>
                <c:pt idx="129">
                  <c:v>35.506797303796873</c:v>
                </c:pt>
                <c:pt idx="130">
                  <c:v>34.452039191139058</c:v>
                </c:pt>
                <c:pt idx="131">
                  <c:v>38.335611757341717</c:v>
                </c:pt>
                <c:pt idx="132">
                  <c:v>36.000683527202511</c:v>
                </c:pt>
                <c:pt idx="133">
                  <c:v>40.200205058160748</c:v>
                </c:pt>
                <c:pt idx="134">
                  <c:v>40.760061517448221</c:v>
                </c:pt>
                <c:pt idx="135">
                  <c:v>41.628018455234468</c:v>
                </c:pt>
                <c:pt idx="136">
                  <c:v>39.088405536570335</c:v>
                </c:pt>
                <c:pt idx="137">
                  <c:v>28.526521660971099</c:v>
                </c:pt>
                <c:pt idx="138">
                  <c:v>32.35795649829133</c:v>
                </c:pt>
                <c:pt idx="139">
                  <c:v>39.807386949487395</c:v>
                </c:pt>
                <c:pt idx="140">
                  <c:v>37.142216084846218</c:v>
                </c:pt>
                <c:pt idx="141">
                  <c:v>49.642664825453863</c:v>
                </c:pt>
                <c:pt idx="142">
                  <c:v>43.592799447636153</c:v>
                </c:pt>
                <c:pt idx="143">
                  <c:v>44.577839834290842</c:v>
                </c:pt>
                <c:pt idx="144">
                  <c:v>42.073351950287254</c:v>
                </c:pt>
                <c:pt idx="145">
                  <c:v>38.522005585086177</c:v>
                </c:pt>
                <c:pt idx="146">
                  <c:v>41.656601675525849</c:v>
                </c:pt>
                <c:pt idx="147">
                  <c:v>39.796980502657753</c:v>
                </c:pt>
                <c:pt idx="148">
                  <c:v>35.039094150797325</c:v>
                </c:pt>
                <c:pt idx="149">
                  <c:v>40.611728245239192</c:v>
                </c:pt>
                <c:pt idx="150">
                  <c:v>40.183518473571759</c:v>
                </c:pt>
                <c:pt idx="151">
                  <c:v>38.655055542071523</c:v>
                </c:pt>
                <c:pt idx="152">
                  <c:v>43.096516662621454</c:v>
                </c:pt>
                <c:pt idx="153">
                  <c:v>45.128954998786433</c:v>
                </c:pt>
                <c:pt idx="154">
                  <c:v>37.338686499635926</c:v>
                </c:pt>
                <c:pt idx="155">
                  <c:v>35.701605949890777</c:v>
                </c:pt>
                <c:pt idx="156">
                  <c:v>44.310481784967223</c:v>
                </c:pt>
                <c:pt idx="157">
                  <c:v>48.99314453549016</c:v>
                </c:pt>
                <c:pt idx="158">
                  <c:v>39.897943360647048</c:v>
                </c:pt>
                <c:pt idx="159">
                  <c:v>35.069383008194109</c:v>
                </c:pt>
                <c:pt idx="160">
                  <c:v>42.72081490245823</c:v>
                </c:pt>
                <c:pt idx="161">
                  <c:v>42.216244470737465</c:v>
                </c:pt>
                <c:pt idx="162">
                  <c:v>46.264873341221232</c:v>
                </c:pt>
                <c:pt idx="163">
                  <c:v>37.679462002366364</c:v>
                </c:pt>
                <c:pt idx="164">
                  <c:v>40.003838600709912</c:v>
                </c:pt>
                <c:pt idx="165">
                  <c:v>36.501151580212976</c:v>
                </c:pt>
                <c:pt idx="166">
                  <c:v>38.950345474063894</c:v>
                </c:pt>
                <c:pt idx="167">
                  <c:v>35.485103642219165</c:v>
                </c:pt>
                <c:pt idx="168">
                  <c:v>31.645531092665749</c:v>
                </c:pt>
                <c:pt idx="169">
                  <c:v>34.693659327799722</c:v>
                </c:pt>
                <c:pt idx="170">
                  <c:v>38.408097798339917</c:v>
                </c:pt>
                <c:pt idx="171">
                  <c:v>38.822429339501973</c:v>
                </c:pt>
                <c:pt idx="172">
                  <c:v>43.146728801850585</c:v>
                </c:pt>
                <c:pt idx="173">
                  <c:v>39.544018640555173</c:v>
                </c:pt>
                <c:pt idx="174">
                  <c:v>44.76320559216655</c:v>
                </c:pt>
                <c:pt idx="175">
                  <c:v>36.52896167764996</c:v>
                </c:pt>
                <c:pt idx="176">
                  <c:v>31.958688503294987</c:v>
                </c:pt>
                <c:pt idx="177">
                  <c:v>38.987606550988495</c:v>
                </c:pt>
                <c:pt idx="178">
                  <c:v>41.796281965296544</c:v>
                </c:pt>
                <c:pt idx="179">
                  <c:v>41.238884589588963</c:v>
                </c:pt>
                <c:pt idx="180">
                  <c:v>41.071665376876688</c:v>
                </c:pt>
                <c:pt idx="181">
                  <c:v>53.621499613063001</c:v>
                </c:pt>
                <c:pt idx="182">
                  <c:v>46.186449883918897</c:v>
                </c:pt>
                <c:pt idx="183">
                  <c:v>45.355934965175663</c:v>
                </c:pt>
                <c:pt idx="184">
                  <c:v>40.206780489552699</c:v>
                </c:pt>
                <c:pt idx="185">
                  <c:v>37.962034146865804</c:v>
                </c:pt>
                <c:pt idx="186">
                  <c:v>42.888610244059734</c:v>
                </c:pt>
                <c:pt idx="187">
                  <c:v>42.266583073217916</c:v>
                </c:pt>
                <c:pt idx="188">
                  <c:v>52.579974921965373</c:v>
                </c:pt>
                <c:pt idx="189">
                  <c:v>47.973992476589608</c:v>
                </c:pt>
                <c:pt idx="190">
                  <c:v>50.092197742976879</c:v>
                </c:pt>
                <c:pt idx="191">
                  <c:v>43.727659322893061</c:v>
                </c:pt>
                <c:pt idx="192">
                  <c:v>46.018297796867913</c:v>
                </c:pt>
                <c:pt idx="193">
                  <c:v>32.005489339060375</c:v>
                </c:pt>
                <c:pt idx="194">
                  <c:v>34.101646801718111</c:v>
                </c:pt>
                <c:pt idx="195">
                  <c:v>41.030494040515428</c:v>
                </c:pt>
                <c:pt idx="196">
                  <c:v>41.009148212154628</c:v>
                </c:pt>
                <c:pt idx="197">
                  <c:v>41.702744463646383</c:v>
                </c:pt>
                <c:pt idx="198">
                  <c:v>37.710823339093913</c:v>
                </c:pt>
                <c:pt idx="199">
                  <c:v>42.813247001728172</c:v>
                </c:pt>
                <c:pt idx="200">
                  <c:v>44.343974100518452</c:v>
                </c:pt>
                <c:pt idx="201">
                  <c:v>44.803192230155531</c:v>
                </c:pt>
                <c:pt idx="202">
                  <c:v>46.340957669046659</c:v>
                </c:pt>
                <c:pt idx="203">
                  <c:v>40.502287300713995</c:v>
                </c:pt>
                <c:pt idx="204">
                  <c:v>41.550686190214194</c:v>
                </c:pt>
                <c:pt idx="205">
                  <c:v>36.965205857064255</c:v>
                </c:pt>
                <c:pt idx="206">
                  <c:v>36.289561757119273</c:v>
                </c:pt>
                <c:pt idx="207">
                  <c:v>38.186868527135779</c:v>
                </c:pt>
                <c:pt idx="208">
                  <c:v>42.956060558140727</c:v>
                </c:pt>
                <c:pt idx="209">
                  <c:v>42.986818167442216</c:v>
                </c:pt>
                <c:pt idx="210">
                  <c:v>45.796045450232661</c:v>
                </c:pt>
                <c:pt idx="211">
                  <c:v>38.938813635069799</c:v>
                </c:pt>
                <c:pt idx="212">
                  <c:v>40.381644090520936</c:v>
                </c:pt>
                <c:pt idx="213">
                  <c:v>47.114493227156281</c:v>
                </c:pt>
                <c:pt idx="214">
                  <c:v>41.434347968146881</c:v>
                </c:pt>
                <c:pt idx="215">
                  <c:v>41.130304390444067</c:v>
                </c:pt>
                <c:pt idx="216">
                  <c:v>44.539091317133213</c:v>
                </c:pt>
                <c:pt idx="217">
                  <c:v>58.161727395139962</c:v>
                </c:pt>
                <c:pt idx="218">
                  <c:v>48.948518218541984</c:v>
                </c:pt>
                <c:pt idx="219">
                  <c:v>38.484555465562593</c:v>
                </c:pt>
                <c:pt idx="220">
                  <c:v>38.145366639668779</c:v>
                </c:pt>
                <c:pt idx="221">
                  <c:v>42.243609991900627</c:v>
                </c:pt>
                <c:pt idx="222">
                  <c:v>46.273082997570185</c:v>
                </c:pt>
                <c:pt idx="223">
                  <c:v>46.081924899271051</c:v>
                </c:pt>
                <c:pt idx="224">
                  <c:v>44.624577469781315</c:v>
                </c:pt>
                <c:pt idx="225">
                  <c:v>39.287373240934393</c:v>
                </c:pt>
                <c:pt idx="226">
                  <c:v>39.086211972280317</c:v>
                </c:pt>
                <c:pt idx="227">
                  <c:v>42.525863591684093</c:v>
                </c:pt>
                <c:pt idx="228">
                  <c:v>44.257759077505227</c:v>
                </c:pt>
                <c:pt idx="229">
                  <c:v>36.377327723251568</c:v>
                </c:pt>
                <c:pt idx="230">
                  <c:v>41.713198316975465</c:v>
                </c:pt>
                <c:pt idx="231">
                  <c:v>39.113959495092637</c:v>
                </c:pt>
                <c:pt idx="232">
                  <c:v>43.934187848527785</c:v>
                </c:pt>
                <c:pt idx="233">
                  <c:v>45.380256354558327</c:v>
                </c:pt>
                <c:pt idx="234">
                  <c:v>41.614076906367501</c:v>
                </c:pt>
                <c:pt idx="235">
                  <c:v>39.784223071910247</c:v>
                </c:pt>
                <c:pt idx="236">
                  <c:v>42.735266921573071</c:v>
                </c:pt>
                <c:pt idx="237">
                  <c:v>46.420580076471914</c:v>
                </c:pt>
                <c:pt idx="238">
                  <c:v>48.926174022941574</c:v>
                </c:pt>
                <c:pt idx="239">
                  <c:v>43.377852206882473</c:v>
                </c:pt>
                <c:pt idx="240">
                  <c:v>42.413355662064738</c:v>
                </c:pt>
                <c:pt idx="241">
                  <c:v>48.424006698619415</c:v>
                </c:pt>
                <c:pt idx="242">
                  <c:v>43.227202009585824</c:v>
                </c:pt>
                <c:pt idx="243">
                  <c:v>43.768160602875746</c:v>
                </c:pt>
                <c:pt idx="244">
                  <c:v>39.730448180862723</c:v>
                </c:pt>
                <c:pt idx="245">
                  <c:v>59.519134454258811</c:v>
                </c:pt>
                <c:pt idx="246">
                  <c:v>45.855740336277641</c:v>
                </c:pt>
                <c:pt idx="247">
                  <c:v>43.156722100883293</c:v>
                </c:pt>
                <c:pt idx="248">
                  <c:v>48.647016630264986</c:v>
                </c:pt>
                <c:pt idx="249">
                  <c:v>45.394104989079494</c:v>
                </c:pt>
                <c:pt idx="250">
                  <c:v>45.118231496723844</c:v>
                </c:pt>
                <c:pt idx="251">
                  <c:v>38.735469449017152</c:v>
                </c:pt>
                <c:pt idx="252">
                  <c:v>51.520640834705148</c:v>
                </c:pt>
                <c:pt idx="253">
                  <c:v>46.256192250411544</c:v>
                </c:pt>
                <c:pt idx="254">
                  <c:v>43.276857675123459</c:v>
                </c:pt>
                <c:pt idx="255">
                  <c:v>50.083057302537028</c:v>
                </c:pt>
                <c:pt idx="256">
                  <c:v>44.424917190761107</c:v>
                </c:pt>
                <c:pt idx="257">
                  <c:v>37.127475157228332</c:v>
                </c:pt>
                <c:pt idx="258">
                  <c:v>39.138242547168502</c:v>
                </c:pt>
                <c:pt idx="259">
                  <c:v>50.941472764150546</c:v>
                </c:pt>
                <c:pt idx="260">
                  <c:v>46.082441829245163</c:v>
                </c:pt>
                <c:pt idx="261">
                  <c:v>50.924732548773541</c:v>
                </c:pt>
                <c:pt idx="262">
                  <c:v>53.777419764632057</c:v>
                </c:pt>
                <c:pt idx="263">
                  <c:v>43.433225929389614</c:v>
                </c:pt>
                <c:pt idx="264">
                  <c:v>54.329967778816879</c:v>
                </c:pt>
                <c:pt idx="265">
                  <c:v>54.798990333645065</c:v>
                </c:pt>
                <c:pt idx="266">
                  <c:v>67.53969710009352</c:v>
                </c:pt>
                <c:pt idx="267">
                  <c:v>58.761909130028059</c:v>
                </c:pt>
                <c:pt idx="268">
                  <c:v>48.428572739008416</c:v>
                </c:pt>
                <c:pt idx="269">
                  <c:v>44.628571821702522</c:v>
                </c:pt>
                <c:pt idx="270">
                  <c:v>41.388571546510754</c:v>
                </c:pt>
                <c:pt idx="271">
                  <c:v>45.316571463953224</c:v>
                </c:pt>
                <c:pt idx="272">
                  <c:v>49.294971439185964</c:v>
                </c:pt>
                <c:pt idx="273">
                  <c:v>53.988491431755783</c:v>
                </c:pt>
                <c:pt idx="274">
                  <c:v>50.496547429526728</c:v>
                </c:pt>
                <c:pt idx="275">
                  <c:v>52.948964228858017</c:v>
                </c:pt>
                <c:pt idx="276">
                  <c:v>55.084689268657399</c:v>
                </c:pt>
                <c:pt idx="277">
                  <c:v>49.425406780597214</c:v>
                </c:pt>
                <c:pt idx="278">
                  <c:v>45.627622034179161</c:v>
                </c:pt>
                <c:pt idx="279">
                  <c:v>43.788286610253749</c:v>
                </c:pt>
                <c:pt idx="280">
                  <c:v>42.536485983076119</c:v>
                </c:pt>
                <c:pt idx="281">
                  <c:v>44.260945794922833</c:v>
                </c:pt>
                <c:pt idx="282">
                  <c:v>48.278283738476851</c:v>
                </c:pt>
                <c:pt idx="283">
                  <c:v>48.083485121543049</c:v>
                </c:pt>
                <c:pt idx="284">
                  <c:v>44.525045536462912</c:v>
                </c:pt>
                <c:pt idx="285">
                  <c:v>41.357513660938871</c:v>
                </c:pt>
                <c:pt idx="286">
                  <c:v>53.707254098281659</c:v>
                </c:pt>
                <c:pt idx="287">
                  <c:v>44.812176229484493</c:v>
                </c:pt>
                <c:pt idx="288">
                  <c:v>42.843652868845346</c:v>
                </c:pt>
                <c:pt idx="289">
                  <c:v>48.553095860653599</c:v>
                </c:pt>
                <c:pt idx="290">
                  <c:v>48.865928758196077</c:v>
                </c:pt>
                <c:pt idx="291">
                  <c:v>46.15977862745882</c:v>
                </c:pt>
                <c:pt idx="292">
                  <c:v>43.947933588237646</c:v>
                </c:pt>
                <c:pt idx="293">
                  <c:v>42.584380076471291</c:v>
                </c:pt>
                <c:pt idx="294">
                  <c:v>39.375314022941382</c:v>
                </c:pt>
                <c:pt idx="295">
                  <c:v>44.712594206882414</c:v>
                </c:pt>
                <c:pt idx="296">
                  <c:v>40.013778262064719</c:v>
                </c:pt>
                <c:pt idx="297">
                  <c:v>37.204133478619411</c:v>
                </c:pt>
                <c:pt idx="298">
                  <c:v>40.561240043585819</c:v>
                </c:pt>
                <c:pt idx="299">
                  <c:v>36.668372013075746</c:v>
                </c:pt>
                <c:pt idx="300">
                  <c:v>30.600511603922719</c:v>
                </c:pt>
                <c:pt idx="301">
                  <c:v>39.980153481176814</c:v>
                </c:pt>
                <c:pt idx="302">
                  <c:v>37.194046044353044</c:v>
                </c:pt>
                <c:pt idx="303">
                  <c:v>42.658213813305906</c:v>
                </c:pt>
                <c:pt idx="304">
                  <c:v>44.997464143991763</c:v>
                </c:pt>
                <c:pt idx="305">
                  <c:v>47.099239243197523</c:v>
                </c:pt>
                <c:pt idx="306">
                  <c:v>48.429771772959256</c:v>
                </c:pt>
                <c:pt idx="307">
                  <c:v>44.628931531887773</c:v>
                </c:pt>
                <c:pt idx="308">
                  <c:v>42.788679459566332</c:v>
                </c:pt>
                <c:pt idx="309">
                  <c:v>54.136603837869899</c:v>
                </c:pt>
                <c:pt idx="310">
                  <c:v>47.74098115136097</c:v>
                </c:pt>
                <c:pt idx="311">
                  <c:v>50.722294345408287</c:v>
                </c:pt>
                <c:pt idx="312">
                  <c:v>47.416688303622479</c:v>
                </c:pt>
                <c:pt idx="313">
                  <c:v>43.625006491086744</c:v>
                </c:pt>
                <c:pt idx="314">
                  <c:v>41.087501947326025</c:v>
                </c:pt>
                <c:pt idx="315">
                  <c:v>40.326250584197808</c:v>
                </c:pt>
                <c:pt idx="316">
                  <c:v>43.59787517525934</c:v>
                </c:pt>
                <c:pt idx="317">
                  <c:v>37.579362552577805</c:v>
                </c:pt>
                <c:pt idx="318">
                  <c:v>35.773808765773339</c:v>
                </c:pt>
                <c:pt idx="319">
                  <c:v>38.732142629732003</c:v>
                </c:pt>
                <c:pt idx="320">
                  <c:v>38.919642788919596</c:v>
                </c:pt>
                <c:pt idx="321">
                  <c:v>34.775892836675879</c:v>
                </c:pt>
                <c:pt idx="322">
                  <c:v>39.832767851002764</c:v>
                </c:pt>
                <c:pt idx="323">
                  <c:v>44.849830355300824</c:v>
                </c:pt>
                <c:pt idx="324">
                  <c:v>49.154949106590244</c:v>
                </c:pt>
                <c:pt idx="325">
                  <c:v>45.546484731977074</c:v>
                </c:pt>
                <c:pt idx="326">
                  <c:v>41.663945419593119</c:v>
                </c:pt>
                <c:pt idx="327">
                  <c:v>52.399183625877932</c:v>
                </c:pt>
                <c:pt idx="328">
                  <c:v>50.019755087763372</c:v>
                </c:pt>
                <c:pt idx="329">
                  <c:v>46.505926526329006</c:v>
                </c:pt>
                <c:pt idx="330">
                  <c:v>48.251777957898696</c:v>
                </c:pt>
                <c:pt idx="331">
                  <c:v>50.175533387369605</c:v>
                </c:pt>
                <c:pt idx="332">
                  <c:v>47.252660016210875</c:v>
                </c:pt>
                <c:pt idx="333">
                  <c:v>44.975798004863258</c:v>
                </c:pt>
                <c:pt idx="334">
                  <c:v>49.892739401458975</c:v>
                </c:pt>
                <c:pt idx="335">
                  <c:v>46.467821820437692</c:v>
                </c:pt>
                <c:pt idx="336">
                  <c:v>36.340346546131308</c:v>
                </c:pt>
                <c:pt idx="337">
                  <c:v>43.10210396383939</c:v>
                </c:pt>
                <c:pt idx="338">
                  <c:v>41.630631189151813</c:v>
                </c:pt>
                <c:pt idx="339">
                  <c:v>36.289189356745538</c:v>
                </c:pt>
                <c:pt idx="340">
                  <c:v>33.98675680702366</c:v>
                </c:pt>
                <c:pt idx="341">
                  <c:v>35.396027042107093</c:v>
                </c:pt>
                <c:pt idx="342">
                  <c:v>44.918808112632121</c:v>
                </c:pt>
                <c:pt idx="343">
                  <c:v>43.575642433789632</c:v>
                </c:pt>
                <c:pt idx="344">
                  <c:v>43.172692730136887</c:v>
                </c:pt>
                <c:pt idx="345">
                  <c:v>36.751807819041062</c:v>
                </c:pt>
                <c:pt idx="346">
                  <c:v>38.325542345712314</c:v>
                </c:pt>
                <c:pt idx="347">
                  <c:v>35.997662703713694</c:v>
                </c:pt>
                <c:pt idx="348">
                  <c:v>47.199298811114105</c:v>
                </c:pt>
                <c:pt idx="349">
                  <c:v>47.059789643334227</c:v>
                </c:pt>
                <c:pt idx="350">
                  <c:v>50.517936893000268</c:v>
                </c:pt>
                <c:pt idx="351">
                  <c:v>42.455381067900078</c:v>
                </c:pt>
                <c:pt idx="352">
                  <c:v>40.736614320370023</c:v>
                </c:pt>
                <c:pt idx="353">
                  <c:v>41.620984296111004</c:v>
                </c:pt>
                <c:pt idx="354">
                  <c:v>41.886295288833296</c:v>
                </c:pt>
                <c:pt idx="355">
                  <c:v>49.665888586649984</c:v>
                </c:pt>
                <c:pt idx="356">
                  <c:v>42.199766575994992</c:v>
                </c:pt>
                <c:pt idx="357">
                  <c:v>40.659929972798494</c:v>
                </c:pt>
                <c:pt idx="358">
                  <c:v>38.797978991839543</c:v>
                </c:pt>
                <c:pt idx="359">
                  <c:v>42.439393697551857</c:v>
                </c:pt>
                <c:pt idx="360">
                  <c:v>36.531818109265558</c:v>
                </c:pt>
                <c:pt idx="361">
                  <c:v>36.859545432779669</c:v>
                </c:pt>
                <c:pt idx="362">
                  <c:v>47.457863629833895</c:v>
                </c:pt>
                <c:pt idx="363">
                  <c:v>47.837359088950166</c:v>
                </c:pt>
                <c:pt idx="364">
                  <c:v>52.851207726685047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7C-4F54-BE9A-20A528ADB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57536"/>
        <c:axId val="131353744"/>
      </c:lineChart>
      <c:catAx>
        <c:axId val="53457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31353744"/>
        <c:crosses val="autoZero"/>
        <c:auto val="1"/>
        <c:lblAlgn val="ctr"/>
        <c:lblOffset val="100"/>
        <c:noMultiLvlLbl val="0"/>
      </c:catAx>
      <c:valAx>
        <c:axId val="131353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575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 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DD-4505-8815-94CADB7B1BFC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 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32.9</c:v>
                </c:pt>
                <c:pt idx="3">
                  <c:v>30.869999999999997</c:v>
                </c:pt>
                <c:pt idx="4">
                  <c:v>30.960999999999999</c:v>
                </c:pt>
                <c:pt idx="5">
                  <c:v>40.088299999999997</c:v>
                </c:pt>
                <c:pt idx="6">
                  <c:v>32.326489999999993</c:v>
                </c:pt>
                <c:pt idx="7">
                  <c:v>41.197946999999992</c:v>
                </c:pt>
                <c:pt idx="8">
                  <c:v>42.459384099999994</c:v>
                </c:pt>
                <c:pt idx="9">
                  <c:v>39.337815229999997</c:v>
                </c:pt>
                <c:pt idx="10">
                  <c:v>30.701344569</c:v>
                </c:pt>
                <c:pt idx="11">
                  <c:v>35.810403370700001</c:v>
                </c:pt>
                <c:pt idx="12">
                  <c:v>33.843121011210002</c:v>
                </c:pt>
                <c:pt idx="13">
                  <c:v>48.652936303362999</c:v>
                </c:pt>
                <c:pt idx="14">
                  <c:v>47.495880891008895</c:v>
                </c:pt>
                <c:pt idx="15">
                  <c:v>45.748764267302661</c:v>
                </c:pt>
                <c:pt idx="16">
                  <c:v>39.624629280190796</c:v>
                </c:pt>
                <c:pt idx="17">
                  <c:v>46.887388784057237</c:v>
                </c:pt>
                <c:pt idx="18">
                  <c:v>44.166216635217168</c:v>
                </c:pt>
                <c:pt idx="19">
                  <c:v>41.949864990565146</c:v>
                </c:pt>
                <c:pt idx="20">
                  <c:v>48.984959497169541</c:v>
                </c:pt>
                <c:pt idx="21">
                  <c:v>38.495487849150862</c:v>
                </c:pt>
                <c:pt idx="22">
                  <c:v>48.648646354745253</c:v>
                </c:pt>
                <c:pt idx="23">
                  <c:v>41.894593906423573</c:v>
                </c:pt>
                <c:pt idx="24">
                  <c:v>34.968378171927071</c:v>
                </c:pt>
                <c:pt idx="25">
                  <c:v>36.390513451578116</c:v>
                </c:pt>
                <c:pt idx="26">
                  <c:v>41.017154035473432</c:v>
                </c:pt>
                <c:pt idx="27">
                  <c:v>39.605146210642026</c:v>
                </c:pt>
                <c:pt idx="28">
                  <c:v>36.381543863192604</c:v>
                </c:pt>
                <c:pt idx="29">
                  <c:v>41.714463158957777</c:v>
                </c:pt>
                <c:pt idx="30">
                  <c:v>39.11433894768733</c:v>
                </c:pt>
                <c:pt idx="31">
                  <c:v>28.534301684306193</c:v>
                </c:pt>
                <c:pt idx="32">
                  <c:v>24.660290505291854</c:v>
                </c:pt>
                <c:pt idx="33">
                  <c:v>29.098087151587556</c:v>
                </c:pt>
                <c:pt idx="34">
                  <c:v>39.529426145476265</c:v>
                </c:pt>
                <c:pt idx="35">
                  <c:v>38.458827843642879</c:v>
                </c:pt>
                <c:pt idx="36">
                  <c:v>46.537648353092862</c:v>
                </c:pt>
                <c:pt idx="37">
                  <c:v>40.561294505927854</c:v>
                </c:pt>
                <c:pt idx="38">
                  <c:v>47.86838835177835</c:v>
                </c:pt>
                <c:pt idx="39">
                  <c:v>36.060516505533506</c:v>
                </c:pt>
                <c:pt idx="40">
                  <c:v>32.518154951660051</c:v>
                </c:pt>
                <c:pt idx="41">
                  <c:v>45.455446485498008</c:v>
                </c:pt>
                <c:pt idx="42">
                  <c:v>38.836633945649403</c:v>
                </c:pt>
                <c:pt idx="43">
                  <c:v>43.150990183694816</c:v>
                </c:pt>
                <c:pt idx="44">
                  <c:v>48.645297055108443</c:v>
                </c:pt>
                <c:pt idx="45">
                  <c:v>38.393589116532532</c:v>
                </c:pt>
                <c:pt idx="46">
                  <c:v>47.918076734959755</c:v>
                </c:pt>
                <c:pt idx="47">
                  <c:v>47.275423020487921</c:v>
                </c:pt>
                <c:pt idx="48">
                  <c:v>45.682626906146375</c:v>
                </c:pt>
                <c:pt idx="49">
                  <c:v>45.90478807184391</c:v>
                </c:pt>
                <c:pt idx="50">
                  <c:v>41.071436421553173</c:v>
                </c:pt>
                <c:pt idx="51">
                  <c:v>45.921430926465945</c:v>
                </c:pt>
                <c:pt idx="52">
                  <c:v>39.676429277939782</c:v>
                </c:pt>
                <c:pt idx="53">
                  <c:v>36.402928783381938</c:v>
                </c:pt>
                <c:pt idx="54">
                  <c:v>47.32087863501458</c:v>
                </c:pt>
                <c:pt idx="55">
                  <c:v>43.596263590504371</c:v>
                </c:pt>
                <c:pt idx="56">
                  <c:v>44.578879077151306</c:v>
                </c:pt>
                <c:pt idx="57">
                  <c:v>40.673663723145388</c:v>
                </c:pt>
                <c:pt idx="58">
                  <c:v>38.102099116943613</c:v>
                </c:pt>
                <c:pt idx="59">
                  <c:v>32.430629735083087</c:v>
                </c:pt>
                <c:pt idx="60">
                  <c:v>34.229188920524926</c:v>
                </c:pt>
                <c:pt idx="61">
                  <c:v>29.868756676157474</c:v>
                </c:pt>
                <c:pt idx="62">
                  <c:v>40.460627002847239</c:v>
                </c:pt>
                <c:pt idx="63">
                  <c:v>35.93818810085417</c:v>
                </c:pt>
                <c:pt idx="64">
                  <c:v>35.981456430256252</c:v>
                </c:pt>
                <c:pt idx="65">
                  <c:v>45.794436929076873</c:v>
                </c:pt>
                <c:pt idx="66">
                  <c:v>44.538331078723061</c:v>
                </c:pt>
                <c:pt idx="67">
                  <c:v>40.661499323616916</c:v>
                </c:pt>
                <c:pt idx="68">
                  <c:v>34.598449797085074</c:v>
                </c:pt>
                <c:pt idx="69">
                  <c:v>37.679534939125517</c:v>
                </c:pt>
                <c:pt idx="70">
                  <c:v>42.803860481737651</c:v>
                </c:pt>
                <c:pt idx="71">
                  <c:v>42.941158144521296</c:v>
                </c:pt>
                <c:pt idx="72">
                  <c:v>40.182347443356385</c:v>
                </c:pt>
                <c:pt idx="73">
                  <c:v>33.754704233006912</c:v>
                </c:pt>
                <c:pt idx="74">
                  <c:v>29.02641126990207</c:v>
                </c:pt>
                <c:pt idx="75">
                  <c:v>29.70792338097062</c:v>
                </c:pt>
                <c:pt idx="76">
                  <c:v>38.312377014291187</c:v>
                </c:pt>
                <c:pt idx="77">
                  <c:v>43.693713104287355</c:v>
                </c:pt>
                <c:pt idx="78">
                  <c:v>41.808113931286208</c:v>
                </c:pt>
                <c:pt idx="79">
                  <c:v>37.74243417938586</c:v>
                </c:pt>
                <c:pt idx="80">
                  <c:v>42.822730253815756</c:v>
                </c:pt>
                <c:pt idx="81">
                  <c:v>45.046819076144722</c:v>
                </c:pt>
                <c:pt idx="82">
                  <c:v>43.614045722843414</c:v>
                </c:pt>
                <c:pt idx="83">
                  <c:v>39.684213716853023</c:v>
                </c:pt>
                <c:pt idx="84">
                  <c:v>35.705264115055904</c:v>
                </c:pt>
                <c:pt idx="85">
                  <c:v>35.211579234516769</c:v>
                </c:pt>
                <c:pt idx="86">
                  <c:v>49.763473770355027</c:v>
                </c:pt>
                <c:pt idx="87">
                  <c:v>40.129042131106509</c:v>
                </c:pt>
                <c:pt idx="88">
                  <c:v>34.438712639331953</c:v>
                </c:pt>
                <c:pt idx="89">
                  <c:v>45.331613791799583</c:v>
                </c:pt>
                <c:pt idx="90">
                  <c:v>42.299484137539878</c:v>
                </c:pt>
                <c:pt idx="91">
                  <c:v>39.98984524126196</c:v>
                </c:pt>
                <c:pt idx="92">
                  <c:v>40.69695357237859</c:v>
                </c:pt>
                <c:pt idx="93">
                  <c:v>45.109086071713577</c:v>
                </c:pt>
                <c:pt idx="94">
                  <c:v>37.332725821514067</c:v>
                </c:pt>
                <c:pt idx="95">
                  <c:v>36.399817746454218</c:v>
                </c:pt>
                <c:pt idx="96">
                  <c:v>34.019945323936263</c:v>
                </c:pt>
                <c:pt idx="97">
                  <c:v>34.705983597180875</c:v>
                </c:pt>
                <c:pt idx="98">
                  <c:v>37.011795079154261</c:v>
                </c:pt>
                <c:pt idx="99">
                  <c:v>37.703538523746275</c:v>
                </c:pt>
                <c:pt idx="100">
                  <c:v>35.111061557123875</c:v>
                </c:pt>
                <c:pt idx="101">
                  <c:v>47.633318467137158</c:v>
                </c:pt>
                <c:pt idx="102">
                  <c:v>38.089995540141146</c:v>
                </c:pt>
                <c:pt idx="103">
                  <c:v>35.226998662042341</c:v>
                </c:pt>
                <c:pt idx="104">
                  <c:v>37.168099598612699</c:v>
                </c:pt>
                <c:pt idx="105">
                  <c:v>35.650429879583811</c:v>
                </c:pt>
                <c:pt idx="106">
                  <c:v>33.09512896387514</c:v>
                </c:pt>
                <c:pt idx="107">
                  <c:v>39.328538689162542</c:v>
                </c:pt>
                <c:pt idx="108">
                  <c:v>35.59856160674876</c:v>
                </c:pt>
                <c:pt idx="109">
                  <c:v>42.879568482024624</c:v>
                </c:pt>
                <c:pt idx="110">
                  <c:v>33.863870544607387</c:v>
                </c:pt>
                <c:pt idx="111">
                  <c:v>42.359161163382211</c:v>
                </c:pt>
                <c:pt idx="112">
                  <c:v>44.207748349014658</c:v>
                </c:pt>
                <c:pt idx="113">
                  <c:v>51.062324504704392</c:v>
                </c:pt>
                <c:pt idx="114">
                  <c:v>39.118697351411313</c:v>
                </c:pt>
                <c:pt idx="115">
                  <c:v>37.635609205423393</c:v>
                </c:pt>
                <c:pt idx="116">
                  <c:v>35.790682761627018</c:v>
                </c:pt>
                <c:pt idx="117">
                  <c:v>38.737204828488103</c:v>
                </c:pt>
                <c:pt idx="118">
                  <c:v>41.02116144854643</c:v>
                </c:pt>
                <c:pt idx="119">
                  <c:v>52.906348434563924</c:v>
                </c:pt>
                <c:pt idx="120">
                  <c:v>51.571904530369174</c:v>
                </c:pt>
                <c:pt idx="121">
                  <c:v>37.871571359110746</c:v>
                </c:pt>
                <c:pt idx="122">
                  <c:v>35.86147140773322</c:v>
                </c:pt>
                <c:pt idx="123">
                  <c:v>37.358441422319963</c:v>
                </c:pt>
                <c:pt idx="124">
                  <c:v>34.307532426695985</c:v>
                </c:pt>
                <c:pt idx="125">
                  <c:v>37.592259728008791</c:v>
                </c:pt>
                <c:pt idx="126">
                  <c:v>44.177677918402637</c:v>
                </c:pt>
                <c:pt idx="127">
                  <c:v>39.853303375520788</c:v>
                </c:pt>
                <c:pt idx="128">
                  <c:v>48.355991012656233</c:v>
                </c:pt>
                <c:pt idx="129">
                  <c:v>35.506797303796873</c:v>
                </c:pt>
                <c:pt idx="130">
                  <c:v>34.452039191139058</c:v>
                </c:pt>
                <c:pt idx="131">
                  <c:v>38.335611757341717</c:v>
                </c:pt>
                <c:pt idx="132">
                  <c:v>36.000683527202511</c:v>
                </c:pt>
                <c:pt idx="133">
                  <c:v>40.200205058160748</c:v>
                </c:pt>
                <c:pt idx="134">
                  <c:v>40.760061517448221</c:v>
                </c:pt>
                <c:pt idx="135">
                  <c:v>41.628018455234468</c:v>
                </c:pt>
                <c:pt idx="136">
                  <c:v>39.088405536570335</c:v>
                </c:pt>
                <c:pt idx="137">
                  <c:v>28.526521660971099</c:v>
                </c:pt>
                <c:pt idx="138">
                  <c:v>32.35795649829133</c:v>
                </c:pt>
                <c:pt idx="139">
                  <c:v>39.807386949487395</c:v>
                </c:pt>
                <c:pt idx="140">
                  <c:v>37.142216084846218</c:v>
                </c:pt>
                <c:pt idx="141">
                  <c:v>49.642664825453863</c:v>
                </c:pt>
                <c:pt idx="142">
                  <c:v>43.592799447636153</c:v>
                </c:pt>
                <c:pt idx="143">
                  <c:v>44.577839834290842</c:v>
                </c:pt>
                <c:pt idx="144">
                  <c:v>42.073351950287254</c:v>
                </c:pt>
                <c:pt idx="145">
                  <c:v>38.522005585086177</c:v>
                </c:pt>
                <c:pt idx="146">
                  <c:v>41.656601675525849</c:v>
                </c:pt>
                <c:pt idx="147">
                  <c:v>39.796980502657753</c:v>
                </c:pt>
                <c:pt idx="148">
                  <c:v>35.039094150797325</c:v>
                </c:pt>
                <c:pt idx="149">
                  <c:v>40.611728245239192</c:v>
                </c:pt>
                <c:pt idx="150">
                  <c:v>40.183518473571759</c:v>
                </c:pt>
                <c:pt idx="151">
                  <c:v>38.655055542071523</c:v>
                </c:pt>
                <c:pt idx="152">
                  <c:v>43.096516662621454</c:v>
                </c:pt>
                <c:pt idx="153">
                  <c:v>45.128954998786433</c:v>
                </c:pt>
                <c:pt idx="154">
                  <c:v>37.338686499635926</c:v>
                </c:pt>
                <c:pt idx="155">
                  <c:v>35.701605949890777</c:v>
                </c:pt>
                <c:pt idx="156">
                  <c:v>44.310481784967223</c:v>
                </c:pt>
                <c:pt idx="157">
                  <c:v>48.99314453549016</c:v>
                </c:pt>
                <c:pt idx="158">
                  <c:v>39.897943360647048</c:v>
                </c:pt>
                <c:pt idx="159">
                  <c:v>35.069383008194109</c:v>
                </c:pt>
                <c:pt idx="160">
                  <c:v>42.72081490245823</c:v>
                </c:pt>
                <c:pt idx="161">
                  <c:v>42.216244470737465</c:v>
                </c:pt>
                <c:pt idx="162">
                  <c:v>46.264873341221232</c:v>
                </c:pt>
                <c:pt idx="163">
                  <c:v>37.679462002366364</c:v>
                </c:pt>
                <c:pt idx="164">
                  <c:v>40.003838600709912</c:v>
                </c:pt>
                <c:pt idx="165">
                  <c:v>36.501151580212976</c:v>
                </c:pt>
                <c:pt idx="166">
                  <c:v>38.950345474063894</c:v>
                </c:pt>
                <c:pt idx="167">
                  <c:v>35.485103642219165</c:v>
                </c:pt>
                <c:pt idx="168">
                  <c:v>31.645531092665749</c:v>
                </c:pt>
                <c:pt idx="169">
                  <c:v>34.693659327799722</c:v>
                </c:pt>
                <c:pt idx="170">
                  <c:v>38.408097798339917</c:v>
                </c:pt>
                <c:pt idx="171">
                  <c:v>38.822429339501973</c:v>
                </c:pt>
                <c:pt idx="172">
                  <c:v>43.146728801850585</c:v>
                </c:pt>
                <c:pt idx="173">
                  <c:v>39.544018640555173</c:v>
                </c:pt>
                <c:pt idx="174">
                  <c:v>44.76320559216655</c:v>
                </c:pt>
                <c:pt idx="175">
                  <c:v>36.52896167764996</c:v>
                </c:pt>
                <c:pt idx="176">
                  <c:v>31.958688503294987</c:v>
                </c:pt>
                <c:pt idx="177">
                  <c:v>38.987606550988495</c:v>
                </c:pt>
                <c:pt idx="178">
                  <c:v>41.796281965296544</c:v>
                </c:pt>
                <c:pt idx="179">
                  <c:v>41.238884589588963</c:v>
                </c:pt>
                <c:pt idx="180">
                  <c:v>41.071665376876688</c:v>
                </c:pt>
                <c:pt idx="181">
                  <c:v>53.621499613063001</c:v>
                </c:pt>
                <c:pt idx="182">
                  <c:v>46.186449883918897</c:v>
                </c:pt>
                <c:pt idx="183">
                  <c:v>45.355934965175663</c:v>
                </c:pt>
                <c:pt idx="184">
                  <c:v>40.206780489552699</c:v>
                </c:pt>
                <c:pt idx="185">
                  <c:v>37.962034146865804</c:v>
                </c:pt>
                <c:pt idx="186">
                  <c:v>42.888610244059734</c:v>
                </c:pt>
                <c:pt idx="187">
                  <c:v>42.266583073217916</c:v>
                </c:pt>
                <c:pt idx="188">
                  <c:v>52.579974921965373</c:v>
                </c:pt>
                <c:pt idx="189">
                  <c:v>47.973992476589608</c:v>
                </c:pt>
                <c:pt idx="190">
                  <c:v>50.092197742976879</c:v>
                </c:pt>
                <c:pt idx="191">
                  <c:v>43.727659322893061</c:v>
                </c:pt>
                <c:pt idx="192">
                  <c:v>46.018297796867913</c:v>
                </c:pt>
                <c:pt idx="193">
                  <c:v>32.005489339060375</c:v>
                </c:pt>
                <c:pt idx="194">
                  <c:v>34.101646801718111</c:v>
                </c:pt>
                <c:pt idx="195">
                  <c:v>41.030494040515428</c:v>
                </c:pt>
                <c:pt idx="196">
                  <c:v>41.009148212154628</c:v>
                </c:pt>
                <c:pt idx="197">
                  <c:v>41.702744463646383</c:v>
                </c:pt>
                <c:pt idx="198">
                  <c:v>37.710823339093913</c:v>
                </c:pt>
                <c:pt idx="199">
                  <c:v>42.813247001728172</c:v>
                </c:pt>
                <c:pt idx="200">
                  <c:v>44.343974100518452</c:v>
                </c:pt>
                <c:pt idx="201">
                  <c:v>44.803192230155531</c:v>
                </c:pt>
                <c:pt idx="202">
                  <c:v>46.340957669046659</c:v>
                </c:pt>
                <c:pt idx="203">
                  <c:v>40.502287300713995</c:v>
                </c:pt>
                <c:pt idx="204">
                  <c:v>41.550686190214194</c:v>
                </c:pt>
                <c:pt idx="205">
                  <c:v>36.965205857064255</c:v>
                </c:pt>
                <c:pt idx="206">
                  <c:v>36.289561757119273</c:v>
                </c:pt>
                <c:pt idx="207">
                  <c:v>38.186868527135779</c:v>
                </c:pt>
                <c:pt idx="208">
                  <c:v>42.956060558140727</c:v>
                </c:pt>
                <c:pt idx="209">
                  <c:v>42.986818167442216</c:v>
                </c:pt>
                <c:pt idx="210">
                  <c:v>45.796045450232661</c:v>
                </c:pt>
                <c:pt idx="211">
                  <c:v>38.938813635069799</c:v>
                </c:pt>
                <c:pt idx="212">
                  <c:v>40.381644090520936</c:v>
                </c:pt>
                <c:pt idx="213">
                  <c:v>47.114493227156281</c:v>
                </c:pt>
                <c:pt idx="214">
                  <c:v>41.434347968146881</c:v>
                </c:pt>
                <c:pt idx="215">
                  <c:v>41.130304390444067</c:v>
                </c:pt>
                <c:pt idx="216">
                  <c:v>44.539091317133213</c:v>
                </c:pt>
                <c:pt idx="217">
                  <c:v>58.161727395139962</c:v>
                </c:pt>
                <c:pt idx="218">
                  <c:v>48.948518218541984</c:v>
                </c:pt>
                <c:pt idx="219">
                  <c:v>38.484555465562593</c:v>
                </c:pt>
                <c:pt idx="220">
                  <c:v>38.145366639668779</c:v>
                </c:pt>
                <c:pt idx="221">
                  <c:v>42.243609991900627</c:v>
                </c:pt>
                <c:pt idx="222">
                  <c:v>46.273082997570185</c:v>
                </c:pt>
                <c:pt idx="223">
                  <c:v>46.081924899271051</c:v>
                </c:pt>
                <c:pt idx="224">
                  <c:v>44.624577469781315</c:v>
                </c:pt>
                <c:pt idx="225">
                  <c:v>39.287373240934393</c:v>
                </c:pt>
                <c:pt idx="226">
                  <c:v>39.086211972280317</c:v>
                </c:pt>
                <c:pt idx="227">
                  <c:v>42.525863591684093</c:v>
                </c:pt>
                <c:pt idx="228">
                  <c:v>44.257759077505227</c:v>
                </c:pt>
                <c:pt idx="229">
                  <c:v>36.377327723251568</c:v>
                </c:pt>
                <c:pt idx="230">
                  <c:v>41.713198316975465</c:v>
                </c:pt>
                <c:pt idx="231">
                  <c:v>39.113959495092637</c:v>
                </c:pt>
                <c:pt idx="232">
                  <c:v>43.934187848527785</c:v>
                </c:pt>
                <c:pt idx="233">
                  <c:v>45.380256354558327</c:v>
                </c:pt>
                <c:pt idx="234">
                  <c:v>41.614076906367501</c:v>
                </c:pt>
                <c:pt idx="235">
                  <c:v>39.784223071910247</c:v>
                </c:pt>
                <c:pt idx="236">
                  <c:v>42.735266921573071</c:v>
                </c:pt>
                <c:pt idx="237">
                  <c:v>46.420580076471914</c:v>
                </c:pt>
                <c:pt idx="238">
                  <c:v>48.926174022941574</c:v>
                </c:pt>
                <c:pt idx="239">
                  <c:v>43.377852206882473</c:v>
                </c:pt>
                <c:pt idx="240">
                  <c:v>42.413355662064738</c:v>
                </c:pt>
                <c:pt idx="241">
                  <c:v>48.424006698619415</c:v>
                </c:pt>
                <c:pt idx="242">
                  <c:v>43.227202009585824</c:v>
                </c:pt>
                <c:pt idx="243">
                  <c:v>43.768160602875746</c:v>
                </c:pt>
                <c:pt idx="244">
                  <c:v>39.730448180862723</c:v>
                </c:pt>
                <c:pt idx="245">
                  <c:v>59.519134454258811</c:v>
                </c:pt>
                <c:pt idx="246">
                  <c:v>45.855740336277641</c:v>
                </c:pt>
                <c:pt idx="247">
                  <c:v>43.156722100883293</c:v>
                </c:pt>
                <c:pt idx="248">
                  <c:v>48.647016630264986</c:v>
                </c:pt>
                <c:pt idx="249">
                  <c:v>45.394104989079494</c:v>
                </c:pt>
                <c:pt idx="250">
                  <c:v>45.118231496723844</c:v>
                </c:pt>
                <c:pt idx="251">
                  <c:v>38.735469449017152</c:v>
                </c:pt>
                <c:pt idx="252">
                  <c:v>51.520640834705148</c:v>
                </c:pt>
                <c:pt idx="253">
                  <c:v>46.256192250411544</c:v>
                </c:pt>
                <c:pt idx="254">
                  <c:v>43.276857675123459</c:v>
                </c:pt>
                <c:pt idx="255">
                  <c:v>50.083057302537028</c:v>
                </c:pt>
                <c:pt idx="256">
                  <c:v>44.424917190761107</c:v>
                </c:pt>
                <c:pt idx="257">
                  <c:v>37.127475157228332</c:v>
                </c:pt>
                <c:pt idx="258">
                  <c:v>39.138242547168502</c:v>
                </c:pt>
                <c:pt idx="259">
                  <c:v>50.941472764150546</c:v>
                </c:pt>
                <c:pt idx="260">
                  <c:v>46.082441829245163</c:v>
                </c:pt>
                <c:pt idx="261">
                  <c:v>50.924732548773541</c:v>
                </c:pt>
                <c:pt idx="262">
                  <c:v>53.777419764632057</c:v>
                </c:pt>
                <c:pt idx="263">
                  <c:v>43.433225929389614</c:v>
                </c:pt>
                <c:pt idx="264">
                  <c:v>54.329967778816879</c:v>
                </c:pt>
                <c:pt idx="265">
                  <c:v>54.798990333645065</c:v>
                </c:pt>
                <c:pt idx="266">
                  <c:v>67.53969710009352</c:v>
                </c:pt>
                <c:pt idx="267">
                  <c:v>58.761909130028059</c:v>
                </c:pt>
                <c:pt idx="268">
                  <c:v>48.428572739008416</c:v>
                </c:pt>
                <c:pt idx="269">
                  <c:v>44.628571821702522</c:v>
                </c:pt>
                <c:pt idx="270">
                  <c:v>41.388571546510754</c:v>
                </c:pt>
                <c:pt idx="271">
                  <c:v>45.316571463953224</c:v>
                </c:pt>
                <c:pt idx="272">
                  <c:v>49.294971439185964</c:v>
                </c:pt>
                <c:pt idx="273">
                  <c:v>53.988491431755783</c:v>
                </c:pt>
                <c:pt idx="274">
                  <c:v>50.496547429526728</c:v>
                </c:pt>
                <c:pt idx="275">
                  <c:v>52.948964228858017</c:v>
                </c:pt>
                <c:pt idx="276">
                  <c:v>55.084689268657399</c:v>
                </c:pt>
                <c:pt idx="277">
                  <c:v>49.425406780597214</c:v>
                </c:pt>
                <c:pt idx="278">
                  <c:v>45.627622034179161</c:v>
                </c:pt>
                <c:pt idx="279">
                  <c:v>43.788286610253749</c:v>
                </c:pt>
                <c:pt idx="280">
                  <c:v>42.536485983076119</c:v>
                </c:pt>
                <c:pt idx="281">
                  <c:v>44.260945794922833</c:v>
                </c:pt>
                <c:pt idx="282">
                  <c:v>48.278283738476851</c:v>
                </c:pt>
                <c:pt idx="283">
                  <c:v>48.083485121543049</c:v>
                </c:pt>
                <c:pt idx="284">
                  <c:v>44.525045536462912</c:v>
                </c:pt>
                <c:pt idx="285">
                  <c:v>41.357513660938871</c:v>
                </c:pt>
                <c:pt idx="286">
                  <c:v>53.707254098281659</c:v>
                </c:pt>
                <c:pt idx="287">
                  <c:v>44.812176229484493</c:v>
                </c:pt>
                <c:pt idx="288">
                  <c:v>42.843652868845346</c:v>
                </c:pt>
                <c:pt idx="289">
                  <c:v>48.553095860653599</c:v>
                </c:pt>
                <c:pt idx="290">
                  <c:v>48.865928758196077</c:v>
                </c:pt>
                <c:pt idx="291">
                  <c:v>46.15977862745882</c:v>
                </c:pt>
                <c:pt idx="292">
                  <c:v>43.947933588237646</c:v>
                </c:pt>
                <c:pt idx="293">
                  <c:v>42.584380076471291</c:v>
                </c:pt>
                <c:pt idx="294">
                  <c:v>39.375314022941382</c:v>
                </c:pt>
                <c:pt idx="295">
                  <c:v>44.712594206882414</c:v>
                </c:pt>
                <c:pt idx="296">
                  <c:v>40.013778262064719</c:v>
                </c:pt>
                <c:pt idx="297">
                  <c:v>37.204133478619411</c:v>
                </c:pt>
                <c:pt idx="298">
                  <c:v>40.561240043585819</c:v>
                </c:pt>
                <c:pt idx="299">
                  <c:v>36.668372013075746</c:v>
                </c:pt>
                <c:pt idx="300">
                  <c:v>30.600511603922719</c:v>
                </c:pt>
                <c:pt idx="301">
                  <c:v>39.980153481176814</c:v>
                </c:pt>
                <c:pt idx="302">
                  <c:v>37.194046044353044</c:v>
                </c:pt>
                <c:pt idx="303">
                  <c:v>42.658213813305906</c:v>
                </c:pt>
                <c:pt idx="304">
                  <c:v>44.997464143991763</c:v>
                </c:pt>
                <c:pt idx="305">
                  <c:v>47.099239243197523</c:v>
                </c:pt>
                <c:pt idx="306">
                  <c:v>48.429771772959256</c:v>
                </c:pt>
                <c:pt idx="307">
                  <c:v>44.628931531887773</c:v>
                </c:pt>
                <c:pt idx="308">
                  <c:v>42.788679459566332</c:v>
                </c:pt>
                <c:pt idx="309">
                  <c:v>54.136603837869899</c:v>
                </c:pt>
                <c:pt idx="310">
                  <c:v>47.74098115136097</c:v>
                </c:pt>
                <c:pt idx="311">
                  <c:v>50.722294345408287</c:v>
                </c:pt>
                <c:pt idx="312">
                  <c:v>47.416688303622479</c:v>
                </c:pt>
                <c:pt idx="313">
                  <c:v>43.625006491086744</c:v>
                </c:pt>
                <c:pt idx="314">
                  <c:v>41.087501947326025</c:v>
                </c:pt>
                <c:pt idx="315">
                  <c:v>40.326250584197808</c:v>
                </c:pt>
                <c:pt idx="316">
                  <c:v>43.59787517525934</c:v>
                </c:pt>
                <c:pt idx="317">
                  <c:v>37.579362552577805</c:v>
                </c:pt>
                <c:pt idx="318">
                  <c:v>35.773808765773339</c:v>
                </c:pt>
                <c:pt idx="319">
                  <c:v>38.732142629732003</c:v>
                </c:pt>
                <c:pt idx="320">
                  <c:v>38.919642788919596</c:v>
                </c:pt>
                <c:pt idx="321">
                  <c:v>34.775892836675879</c:v>
                </c:pt>
                <c:pt idx="322">
                  <c:v>39.832767851002764</c:v>
                </c:pt>
                <c:pt idx="323">
                  <c:v>44.849830355300824</c:v>
                </c:pt>
                <c:pt idx="324">
                  <c:v>49.154949106590244</c:v>
                </c:pt>
                <c:pt idx="325">
                  <c:v>45.546484731977074</c:v>
                </c:pt>
                <c:pt idx="326">
                  <c:v>41.663945419593119</c:v>
                </c:pt>
                <c:pt idx="327">
                  <c:v>52.399183625877932</c:v>
                </c:pt>
                <c:pt idx="328">
                  <c:v>50.019755087763372</c:v>
                </c:pt>
                <c:pt idx="329">
                  <c:v>46.505926526329006</c:v>
                </c:pt>
                <c:pt idx="330">
                  <c:v>48.251777957898696</c:v>
                </c:pt>
                <c:pt idx="331">
                  <c:v>50.175533387369605</c:v>
                </c:pt>
                <c:pt idx="332">
                  <c:v>47.252660016210875</c:v>
                </c:pt>
                <c:pt idx="333">
                  <c:v>44.975798004863258</c:v>
                </c:pt>
                <c:pt idx="334">
                  <c:v>49.892739401458975</c:v>
                </c:pt>
                <c:pt idx="335">
                  <c:v>46.467821820437692</c:v>
                </c:pt>
                <c:pt idx="336">
                  <c:v>36.340346546131308</c:v>
                </c:pt>
                <c:pt idx="337">
                  <c:v>43.10210396383939</c:v>
                </c:pt>
                <c:pt idx="338">
                  <c:v>41.630631189151813</c:v>
                </c:pt>
                <c:pt idx="339">
                  <c:v>36.289189356745538</c:v>
                </c:pt>
                <c:pt idx="340">
                  <c:v>33.98675680702366</c:v>
                </c:pt>
                <c:pt idx="341">
                  <c:v>35.396027042107093</c:v>
                </c:pt>
                <c:pt idx="342">
                  <c:v>44.918808112632121</c:v>
                </c:pt>
                <c:pt idx="343">
                  <c:v>43.575642433789632</c:v>
                </c:pt>
                <c:pt idx="344">
                  <c:v>43.172692730136887</c:v>
                </c:pt>
                <c:pt idx="345">
                  <c:v>36.751807819041062</c:v>
                </c:pt>
                <c:pt idx="346">
                  <c:v>38.325542345712314</c:v>
                </c:pt>
                <c:pt idx="347">
                  <c:v>35.997662703713694</c:v>
                </c:pt>
                <c:pt idx="348">
                  <c:v>47.199298811114105</c:v>
                </c:pt>
                <c:pt idx="349">
                  <c:v>47.059789643334227</c:v>
                </c:pt>
                <c:pt idx="350">
                  <c:v>50.517936893000268</c:v>
                </c:pt>
                <c:pt idx="351">
                  <c:v>42.455381067900078</c:v>
                </c:pt>
                <c:pt idx="352">
                  <c:v>40.736614320370023</c:v>
                </c:pt>
                <c:pt idx="353">
                  <c:v>41.620984296111004</c:v>
                </c:pt>
                <c:pt idx="354">
                  <c:v>41.886295288833296</c:v>
                </c:pt>
                <c:pt idx="355">
                  <c:v>49.665888586649984</c:v>
                </c:pt>
                <c:pt idx="356">
                  <c:v>42.199766575994992</c:v>
                </c:pt>
                <c:pt idx="357">
                  <c:v>40.659929972798494</c:v>
                </c:pt>
                <c:pt idx="358">
                  <c:v>38.797978991839543</c:v>
                </c:pt>
                <c:pt idx="359">
                  <c:v>42.439393697551857</c:v>
                </c:pt>
                <c:pt idx="360">
                  <c:v>36.531818109265558</c:v>
                </c:pt>
                <c:pt idx="361">
                  <c:v>36.859545432779669</c:v>
                </c:pt>
                <c:pt idx="362">
                  <c:v>47.457863629833895</c:v>
                </c:pt>
                <c:pt idx="363">
                  <c:v>47.837359088950166</c:v>
                </c:pt>
                <c:pt idx="364">
                  <c:v>52.851207726685047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DD-4505-8815-94CADB7B1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51712"/>
        <c:axId val="131352912"/>
      </c:lineChart>
      <c:catAx>
        <c:axId val="13855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31352912"/>
        <c:crosses val="autoZero"/>
        <c:auto val="1"/>
        <c:lblAlgn val="ctr"/>
        <c:lblOffset val="100"/>
        <c:noMultiLvlLbl val="0"/>
      </c:catAx>
      <c:valAx>
        <c:axId val="131352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551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Naive'!$B$1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'Agg Naive'!$A$2:$A$13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Naive'!$B$2:$B$13</c:f>
              <c:numCache>
                <c:formatCode>General</c:formatCode>
                <c:ptCount val="12"/>
                <c:pt idx="0">
                  <c:v>1213</c:v>
                </c:pt>
                <c:pt idx="1">
                  <c:v>1148</c:v>
                </c:pt>
                <c:pt idx="2">
                  <c:v>1218</c:v>
                </c:pt>
                <c:pt idx="3">
                  <c:v>1195</c:v>
                </c:pt>
                <c:pt idx="4">
                  <c:v>1208</c:v>
                </c:pt>
                <c:pt idx="5">
                  <c:v>1212</c:v>
                </c:pt>
                <c:pt idx="6">
                  <c:v>1300</c:v>
                </c:pt>
                <c:pt idx="7">
                  <c:v>1351</c:v>
                </c:pt>
                <c:pt idx="8">
                  <c:v>1446</c:v>
                </c:pt>
                <c:pt idx="9">
                  <c:v>1368</c:v>
                </c:pt>
                <c:pt idx="10">
                  <c:v>1350</c:v>
                </c:pt>
                <c:pt idx="11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10-45DA-A2C9-50E96EFE4FE8}"/>
            </c:ext>
          </c:extLst>
        </c:ser>
        <c:ser>
          <c:idx val="1"/>
          <c:order val="1"/>
          <c:tx>
            <c:strRef>
              <c:f>'Agg Naive'!$C$1</c:f>
              <c:strCache>
                <c:ptCount val="1"/>
                <c:pt idx="0">
                  <c:v>Naïve Approach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'Agg Naive'!$A$2:$A$13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Naive'!$C$2:$C$13</c:f>
              <c:numCache>
                <c:formatCode>General</c:formatCode>
                <c:ptCount val="12"/>
                <c:pt idx="1">
                  <c:v>1213</c:v>
                </c:pt>
                <c:pt idx="2">
                  <c:v>1148</c:v>
                </c:pt>
                <c:pt idx="3">
                  <c:v>1218</c:v>
                </c:pt>
                <c:pt idx="4">
                  <c:v>1195</c:v>
                </c:pt>
                <c:pt idx="5">
                  <c:v>1208</c:v>
                </c:pt>
                <c:pt idx="6">
                  <c:v>1212</c:v>
                </c:pt>
                <c:pt idx="7">
                  <c:v>1300</c:v>
                </c:pt>
                <c:pt idx="8">
                  <c:v>1351</c:v>
                </c:pt>
                <c:pt idx="9">
                  <c:v>1446</c:v>
                </c:pt>
                <c:pt idx="10">
                  <c:v>1368</c:v>
                </c:pt>
                <c:pt idx="11">
                  <c:v>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10-45DA-A2C9-50E96EFE4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293120"/>
        <c:axId val="357319456"/>
      </c:lineChart>
      <c:catAx>
        <c:axId val="35229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19456"/>
        <c:crosses val="autoZero"/>
        <c:auto val="1"/>
        <c:lblAlgn val="ctr"/>
        <c:lblOffset val="100"/>
        <c:noMultiLvlLbl val="0"/>
      </c:catAx>
      <c:valAx>
        <c:axId val="3573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29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MA'!$B$1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'Agg MA'!$A$2:$A$13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MA'!$B$2:$B$13</c:f>
              <c:numCache>
                <c:formatCode>General</c:formatCode>
                <c:ptCount val="12"/>
                <c:pt idx="0">
                  <c:v>1213</c:v>
                </c:pt>
                <c:pt idx="1">
                  <c:v>1148</c:v>
                </c:pt>
                <c:pt idx="2">
                  <c:v>1218</c:v>
                </c:pt>
                <c:pt idx="3">
                  <c:v>1195</c:v>
                </c:pt>
                <c:pt idx="4">
                  <c:v>1208</c:v>
                </c:pt>
                <c:pt idx="5">
                  <c:v>1212</c:v>
                </c:pt>
                <c:pt idx="6">
                  <c:v>1300</c:v>
                </c:pt>
                <c:pt idx="7">
                  <c:v>1351</c:v>
                </c:pt>
                <c:pt idx="8">
                  <c:v>1446</c:v>
                </c:pt>
                <c:pt idx="9">
                  <c:v>1368</c:v>
                </c:pt>
                <c:pt idx="10">
                  <c:v>1350</c:v>
                </c:pt>
                <c:pt idx="11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7-45EF-96B3-00E4127A26EC}"/>
            </c:ext>
          </c:extLst>
        </c:ser>
        <c:ser>
          <c:idx val="1"/>
          <c:order val="1"/>
          <c:tx>
            <c:strRef>
              <c:f>'Agg MA'!$C$1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'Agg MA'!$A$2:$A$13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MA'!$C$2:$C$13</c:f>
              <c:numCache>
                <c:formatCode>General</c:formatCode>
                <c:ptCount val="12"/>
                <c:pt idx="2">
                  <c:v>1180.5</c:v>
                </c:pt>
                <c:pt idx="3">
                  <c:v>1183</c:v>
                </c:pt>
                <c:pt idx="4">
                  <c:v>1206.5</c:v>
                </c:pt>
                <c:pt idx="5">
                  <c:v>1201.5</c:v>
                </c:pt>
                <c:pt idx="6">
                  <c:v>1210</c:v>
                </c:pt>
                <c:pt idx="7">
                  <c:v>1256</c:v>
                </c:pt>
                <c:pt idx="8">
                  <c:v>1325.5</c:v>
                </c:pt>
                <c:pt idx="9">
                  <c:v>1398.5</c:v>
                </c:pt>
                <c:pt idx="10">
                  <c:v>1407</c:v>
                </c:pt>
                <c:pt idx="11">
                  <c:v>1359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7-45EF-96B3-00E4127A2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623312"/>
        <c:axId val="302052960"/>
      </c:lineChart>
      <c:catAx>
        <c:axId val="1386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52960"/>
        <c:crosses val="autoZero"/>
        <c:auto val="1"/>
        <c:lblAlgn val="ctr"/>
        <c:lblOffset val="100"/>
        <c:noMultiLvlLbl val="0"/>
      </c:catAx>
      <c:valAx>
        <c:axId val="3020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cat>
            <c:strRef>
              <c:f>'Agg Exponential 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Exponential S'!$B$2:$B$13</c:f>
              <c:numCache>
                <c:formatCode>General</c:formatCode>
                <c:ptCount val="12"/>
                <c:pt idx="0">
                  <c:v>1213</c:v>
                </c:pt>
                <c:pt idx="1">
                  <c:v>1148</c:v>
                </c:pt>
                <c:pt idx="2">
                  <c:v>1218</c:v>
                </c:pt>
                <c:pt idx="3">
                  <c:v>1195</c:v>
                </c:pt>
                <c:pt idx="4">
                  <c:v>1208</c:v>
                </c:pt>
                <c:pt idx="5">
                  <c:v>1212</c:v>
                </c:pt>
                <c:pt idx="6">
                  <c:v>1300</c:v>
                </c:pt>
                <c:pt idx="7">
                  <c:v>1351</c:v>
                </c:pt>
                <c:pt idx="8">
                  <c:v>1446</c:v>
                </c:pt>
                <c:pt idx="9">
                  <c:v>1368</c:v>
                </c:pt>
                <c:pt idx="10">
                  <c:v>1350</c:v>
                </c:pt>
                <c:pt idx="11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04-4B21-99E0-0AA472DC2D82}"/>
            </c:ext>
          </c:extLst>
        </c:ser>
        <c:ser>
          <c:idx val="1"/>
          <c:order val="1"/>
          <c:tx>
            <c:v>Forecast</c:v>
          </c:tx>
          <c:cat>
            <c:strRef>
              <c:f>'Agg Exponential 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Exponential S'!$C$2:$C$13</c:f>
              <c:numCache>
                <c:formatCode>General</c:formatCode>
                <c:ptCount val="12"/>
                <c:pt idx="0">
                  <c:v>#N/A</c:v>
                </c:pt>
                <c:pt idx="1">
                  <c:v>1213</c:v>
                </c:pt>
                <c:pt idx="2">
                  <c:v>1167.5</c:v>
                </c:pt>
                <c:pt idx="3">
                  <c:v>1202.8499999999999</c:v>
                </c:pt>
                <c:pt idx="4">
                  <c:v>1197.355</c:v>
                </c:pt>
                <c:pt idx="5">
                  <c:v>1204.8064999999999</c:v>
                </c:pt>
                <c:pt idx="6">
                  <c:v>1209.84195</c:v>
                </c:pt>
                <c:pt idx="7">
                  <c:v>1272.952585</c:v>
                </c:pt>
                <c:pt idx="8">
                  <c:v>1327.5857755</c:v>
                </c:pt>
                <c:pt idx="9">
                  <c:v>1410.4757326499998</c:v>
                </c:pt>
                <c:pt idx="10">
                  <c:v>1380.7427197949999</c:v>
                </c:pt>
                <c:pt idx="11">
                  <c:v>1359.2228159384999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04-4B21-99E0-0AA472DC2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824784"/>
        <c:axId val="293882208"/>
      </c:lineChart>
      <c:catAx>
        <c:axId val="34882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93882208"/>
        <c:crosses val="autoZero"/>
        <c:auto val="1"/>
        <c:lblAlgn val="ctr"/>
        <c:lblOffset val="100"/>
        <c:noMultiLvlLbl val="0"/>
      </c:catAx>
      <c:valAx>
        <c:axId val="293882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88247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Linear'!$C$1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'Agg Linear'!$B$2:$B$13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Linear'!$C$2:$C$13</c:f>
              <c:numCache>
                <c:formatCode>General</c:formatCode>
                <c:ptCount val="12"/>
                <c:pt idx="0">
                  <c:v>1213</c:v>
                </c:pt>
                <c:pt idx="1">
                  <c:v>1148</c:v>
                </c:pt>
                <c:pt idx="2">
                  <c:v>1218</c:v>
                </c:pt>
                <c:pt idx="3">
                  <c:v>1195</c:v>
                </c:pt>
                <c:pt idx="4">
                  <c:v>1208</c:v>
                </c:pt>
                <c:pt idx="5">
                  <c:v>1212</c:v>
                </c:pt>
                <c:pt idx="6">
                  <c:v>1300</c:v>
                </c:pt>
                <c:pt idx="7">
                  <c:v>1351</c:v>
                </c:pt>
                <c:pt idx="8">
                  <c:v>1446</c:v>
                </c:pt>
                <c:pt idx="9">
                  <c:v>1368</c:v>
                </c:pt>
                <c:pt idx="10">
                  <c:v>1350</c:v>
                </c:pt>
                <c:pt idx="11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B-474C-8DCE-08702C7D00C7}"/>
            </c:ext>
          </c:extLst>
        </c:ser>
        <c:ser>
          <c:idx val="1"/>
          <c:order val="1"/>
          <c:tx>
            <c:strRef>
              <c:f>'Agg Linear'!$D$1</c:f>
              <c:strCache>
                <c:ptCount val="1"/>
                <c:pt idx="0">
                  <c:v>Linear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'Agg Linear'!$B$2:$B$13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Linear'!$D$2:$D$13</c:f>
              <c:numCache>
                <c:formatCode>0.00</c:formatCode>
                <c:ptCount val="12"/>
                <c:pt idx="0">
                  <c:v>1166.3205128205129</c:v>
                </c:pt>
                <c:pt idx="1">
                  <c:v>1186.4289044289044</c:v>
                </c:pt>
                <c:pt idx="2">
                  <c:v>1206.5372960372961</c:v>
                </c:pt>
                <c:pt idx="3">
                  <c:v>1226.6456876456878</c:v>
                </c:pt>
                <c:pt idx="4">
                  <c:v>1246.7540792540792</c:v>
                </c:pt>
                <c:pt idx="5">
                  <c:v>1266.8624708624709</c:v>
                </c:pt>
                <c:pt idx="6">
                  <c:v>1286.9708624708626</c:v>
                </c:pt>
                <c:pt idx="7">
                  <c:v>1307.079254079254</c:v>
                </c:pt>
                <c:pt idx="8">
                  <c:v>1327.1876456876457</c:v>
                </c:pt>
                <c:pt idx="9">
                  <c:v>1347.2960372960374</c:v>
                </c:pt>
                <c:pt idx="10">
                  <c:v>1367.4044289044289</c:v>
                </c:pt>
                <c:pt idx="11">
                  <c:v>1387.5128205128206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BB-474C-8DCE-08702C7D0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696736"/>
        <c:axId val="357327776"/>
      </c:lineChart>
      <c:catAx>
        <c:axId val="2966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27776"/>
        <c:crosses val="autoZero"/>
        <c:auto val="1"/>
        <c:lblAlgn val="ctr"/>
        <c:lblOffset val="100"/>
        <c:noMultiLvlLbl val="0"/>
      </c:catAx>
      <c:valAx>
        <c:axId val="3573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 SLR'!$C$1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'Agg SLR'!$B$2:$B$13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SLR'!$C$2:$C$13</c:f>
              <c:numCache>
                <c:formatCode>General</c:formatCode>
                <c:ptCount val="12"/>
                <c:pt idx="0">
                  <c:v>1213</c:v>
                </c:pt>
                <c:pt idx="1">
                  <c:v>1148</c:v>
                </c:pt>
                <c:pt idx="2">
                  <c:v>1218</c:v>
                </c:pt>
                <c:pt idx="3">
                  <c:v>1195</c:v>
                </c:pt>
                <c:pt idx="4">
                  <c:v>1208</c:v>
                </c:pt>
                <c:pt idx="5">
                  <c:v>1212</c:v>
                </c:pt>
                <c:pt idx="6">
                  <c:v>1300</c:v>
                </c:pt>
                <c:pt idx="7">
                  <c:v>1351</c:v>
                </c:pt>
                <c:pt idx="8">
                  <c:v>1446</c:v>
                </c:pt>
                <c:pt idx="9">
                  <c:v>1368</c:v>
                </c:pt>
                <c:pt idx="10">
                  <c:v>1350</c:v>
                </c:pt>
                <c:pt idx="11">
                  <c:v>1314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2-40EB-9925-7B127ECC0265}"/>
            </c:ext>
          </c:extLst>
        </c:ser>
        <c:ser>
          <c:idx val="1"/>
          <c:order val="1"/>
          <c:tx>
            <c:strRef>
              <c:f>'Agg SLR'!$E$1</c:f>
              <c:strCache>
                <c:ptCount val="1"/>
                <c:pt idx="0">
                  <c:v>SLR Forecast * Seasonality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'Agg SLR'!$B$2:$B$13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'Agg SLR'!$E$2:$E$13</c:f>
              <c:numCache>
                <c:formatCode>0.00</c:formatCode>
                <c:ptCount val="12"/>
                <c:pt idx="0">
                  <c:v>1107.9397888543617</c:v>
                </c:pt>
                <c:pt idx="1">
                  <c:v>1066.6478227117786</c:v>
                </c:pt>
                <c:pt idx="2">
                  <c:v>1150.8679187418338</c:v>
                </c:pt>
                <c:pt idx="3">
                  <c:v>1147.9540012294694</c:v>
                </c:pt>
                <c:pt idx="4">
                  <c:v>1179.4653222519828</c:v>
                </c:pt>
                <c:pt idx="5">
                  <c:v>1202.4569455213584</c:v>
                </c:pt>
                <c:pt idx="6">
                  <c:v>1310.2359495232954</c:v>
                </c:pt>
                <c:pt idx="7">
                  <c:v>1382.9125410907045</c:v>
                </c:pt>
                <c:pt idx="8">
                  <c:v>1502.9276269641732</c:v>
                </c:pt>
                <c:pt idx="9">
                  <c:v>1443.3995789500586</c:v>
                </c:pt>
                <c:pt idx="10">
                  <c:v>1445.6667590061832</c:v>
                </c:pt>
                <c:pt idx="11">
                  <c:v>1427.808011084393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2-40EB-9925-7B127ECC0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3184"/>
        <c:axId val="302046720"/>
      </c:lineChart>
      <c:catAx>
        <c:axId val="29702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046720"/>
        <c:crosses val="autoZero"/>
        <c:auto val="1"/>
        <c:lblAlgn val="ctr"/>
        <c:lblOffset val="100"/>
        <c:noMultiLvlLbl val="0"/>
      </c:catAx>
      <c:valAx>
        <c:axId val="3020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Monthly Comparison of Forecast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Charts'!$A$4:$A$8</c:f>
              <c:strCache>
                <c:ptCount val="5"/>
                <c:pt idx="0">
                  <c:v>Naïve</c:v>
                </c:pt>
                <c:pt idx="1">
                  <c:v>Moving Average</c:v>
                </c:pt>
                <c:pt idx="2">
                  <c:v>Exponential Smoothing</c:v>
                </c:pt>
                <c:pt idx="3">
                  <c:v>Linear</c:v>
                </c:pt>
                <c:pt idx="4">
                  <c:v>SLR with Seasonality</c:v>
                </c:pt>
              </c:strCache>
            </c:strRef>
          </c:cat>
          <c:val>
            <c:numRef>
              <c:f>'Accuracy Charts'!$B$4:$B$8</c:f>
              <c:numCache>
                <c:formatCode>0.0%</c:formatCode>
                <c:ptCount val="5"/>
                <c:pt idx="0">
                  <c:v>0.96199999999999997</c:v>
                </c:pt>
                <c:pt idx="1">
                  <c:v>0.96299999999999997</c:v>
                </c:pt>
                <c:pt idx="2">
                  <c:v>0.96199999999999997</c:v>
                </c:pt>
                <c:pt idx="3">
                  <c:v>0.96699999999999997</c:v>
                </c:pt>
                <c:pt idx="4">
                  <c:v>0.95299999999999996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B-48C5-BAE1-9D1787714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26912"/>
        <c:axId val="357325280"/>
      </c:barChart>
      <c:catAx>
        <c:axId val="13862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325280"/>
        <c:crosses val="autoZero"/>
        <c:auto val="1"/>
        <c:lblAlgn val="ctr"/>
        <c:lblOffset val="100"/>
        <c:noMultiLvlLbl val="0"/>
      </c:catAx>
      <c:valAx>
        <c:axId val="35732528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2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solidFill>
                  <a:schemeClr val="bg1"/>
                </a:solidFill>
                <a:effectLst/>
              </a:rPr>
              <a:t>Daily Comparison of Forecast Models</a:t>
            </a:r>
            <a:endParaRPr lang="en-US">
              <a:solidFill>
                <a:schemeClr val="bg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'Accuracy Charts'!$J$4:$J$8</c:f>
              <c:strCache>
                <c:ptCount val="5"/>
                <c:pt idx="0">
                  <c:v>Naïve</c:v>
                </c:pt>
                <c:pt idx="1">
                  <c:v>Moving Average</c:v>
                </c:pt>
                <c:pt idx="2">
                  <c:v>Exponential Smoothing</c:v>
                </c:pt>
                <c:pt idx="3">
                  <c:v>Linear</c:v>
                </c:pt>
                <c:pt idx="4">
                  <c:v>SLR with Seasonality</c:v>
                </c:pt>
              </c:strCache>
            </c:strRef>
          </c:cat>
          <c:val>
            <c:numRef>
              <c:f>'Accuracy Charts'!$K$4:$K$8</c:f>
              <c:numCache>
                <c:formatCode>0.0%</c:formatCode>
                <c:ptCount val="5"/>
                <c:pt idx="0">
                  <c:v>0.82499999999999996</c:v>
                </c:pt>
                <c:pt idx="1">
                  <c:v>0.84</c:v>
                </c:pt>
                <c:pt idx="2">
                  <c:v>0.84299999999999997</c:v>
                </c:pt>
                <c:pt idx="3">
                  <c:v>0.85499999999999998</c:v>
                </c:pt>
                <c:pt idx="4">
                  <c:v>0.86199999999999999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2A0-B289-723693F655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6330159"/>
        <c:axId val="113800863"/>
      </c:barChart>
      <c:catAx>
        <c:axId val="196633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00863"/>
        <c:crosses val="autoZero"/>
        <c:auto val="1"/>
        <c:lblAlgn val="ctr"/>
        <c:lblOffset val="100"/>
        <c:noMultiLvlLbl val="0"/>
      </c:catAx>
      <c:valAx>
        <c:axId val="11380086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33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514350</xdr:colOff>
      <xdr:row>0</xdr:row>
      <xdr:rowOff>28575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269575" y="28575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571500</xdr:colOff>
      <xdr:row>1048558</xdr:row>
      <xdr:rowOff>152400</xdr:rowOff>
    </xdr:from>
    <xdr:to>
      <xdr:col>10</xdr:col>
      <xdr:colOff>571500</xdr:colOff>
      <xdr:row>1048569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44E220-EDE2-4D97-B433-D05B6C781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382360</xdr:colOff>
      <xdr:row>0</xdr:row>
      <xdr:rowOff>190500</xdr:rowOff>
    </xdr:from>
    <xdr:to>
      <xdr:col>21</xdr:col>
      <xdr:colOff>639535</xdr:colOff>
      <xdr:row>25</xdr:row>
      <xdr:rowOff>129267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F8FB9-AEA9-4F4A-9634-D6B36CF39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71436</xdr:colOff>
      <xdr:row>0</xdr:row>
      <xdr:rowOff>180975</xdr:rowOff>
    </xdr:from>
    <xdr:to>
      <xdr:col>7</xdr:col>
      <xdr:colOff>66674</xdr:colOff>
      <xdr:row>13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F9FA28-FC66-4145-8CEF-0ED3F8841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42861</xdr:colOff>
      <xdr:row>0</xdr:row>
      <xdr:rowOff>0</xdr:rowOff>
    </xdr:from>
    <xdr:to>
      <xdr:col>6</xdr:col>
      <xdr:colOff>1790699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A06B3-213F-433D-8E1D-B2A4A729E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0</xdr:row>
      <xdr:rowOff>0</xdr:rowOff>
    </xdr:from>
    <xdr:to>
      <xdr:col>8</xdr:col>
      <xdr:colOff>304800</xdr:colOff>
      <xdr:row>15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C9716-476F-4FD9-A136-E3AEDFE9C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0</xdr:row>
      <xdr:rowOff>0</xdr:rowOff>
    </xdr:from>
    <xdr:to>
      <xdr:col>8</xdr:col>
      <xdr:colOff>19049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C52BD-DC66-4465-B67B-EB5E7B048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1252537</xdr:colOff>
      <xdr:row>13</xdr:row>
      <xdr:rowOff>38100</xdr:rowOff>
    </xdr:from>
    <xdr:to>
      <xdr:col>9</xdr:col>
      <xdr:colOff>285750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DAABE9-3121-4D73-A7FF-BFC5A5875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9525</xdr:rowOff>
    </xdr:from>
    <xdr:to>
      <xdr:col>4</xdr:col>
      <xdr:colOff>461964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86C48-706C-4116-8A80-29BB017B1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8</xdr:row>
      <xdr:rowOff>171450</xdr:rowOff>
    </xdr:from>
    <xdr:to>
      <xdr:col>14</xdr:col>
      <xdr:colOff>338137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7BE9B-1E26-4BBC-9C38-CE497F52E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B1" workbookViewId="0">
      <selection activeCell="J8" sqref="J8:K11"/>
    </sheetView>
  </sheetViews>
  <sheetFormatPr defaultColWidth="11.25" defaultRowHeight="15" customHeight="1"/>
  <cols>
    <col min="1" max="1" width="11" customWidth="1"/>
    <col min="2" max="2" width="11.625" customWidth="1"/>
    <col min="3" max="3" width="14.75" bestFit="1" customWidth="1"/>
    <col min="4" max="4" width="11" customWidth="1"/>
    <col min="5" max="5" width="13.5" bestFit="1" customWidth="1"/>
    <col min="6" max="6" width="21.375" bestFit="1" customWidth="1"/>
    <col min="7" max="7" width="23.875" bestFit="1" customWidth="1"/>
    <col min="8" max="10" width="11" customWidth="1"/>
    <col min="11" max="11" width="19.3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G2" s="5"/>
    </row>
    <row r="3" spans="1:11" ht="15.75" customHeight="1">
      <c r="A3" s="3">
        <v>21552</v>
      </c>
      <c r="B3" s="4">
        <v>32</v>
      </c>
      <c r="C3">
        <f>B2</f>
        <v>35</v>
      </c>
      <c r="D3">
        <f>B3-C3</f>
        <v>-3</v>
      </c>
      <c r="E3">
        <f>ABS(D3)</f>
        <v>3</v>
      </c>
      <c r="F3">
        <f>E3^2</f>
        <v>9</v>
      </c>
      <c r="G3" s="22">
        <f>E3/B3</f>
        <v>9.375E-2</v>
      </c>
    </row>
    <row r="4" spans="1:11" ht="15.75" customHeight="1">
      <c r="A4" s="3">
        <v>21553</v>
      </c>
      <c r="B4" s="4">
        <v>30</v>
      </c>
      <c r="C4">
        <f>B3</f>
        <v>32</v>
      </c>
      <c r="D4">
        <f t="shared" ref="D4:D67" si="0">B4-C4</f>
        <v>-2</v>
      </c>
      <c r="E4">
        <f t="shared" ref="E4:E67" si="1">ABS(D4)</f>
        <v>2</v>
      </c>
      <c r="F4">
        <f t="shared" ref="F4:F67" si="2">E4^2</f>
        <v>4</v>
      </c>
      <c r="G4" s="22">
        <f t="shared" ref="G4:G67" si="3">E4/B4</f>
        <v>6.6666666666666666E-2</v>
      </c>
    </row>
    <row r="5" spans="1:11" ht="15.75" customHeight="1">
      <c r="A5" s="3">
        <v>21554</v>
      </c>
      <c r="B5" s="4">
        <v>31</v>
      </c>
      <c r="C5">
        <f t="shared" ref="C5:C68" si="4">B4</f>
        <v>30</v>
      </c>
      <c r="D5">
        <f t="shared" si="0"/>
        <v>1</v>
      </c>
      <c r="E5">
        <f t="shared" si="1"/>
        <v>1</v>
      </c>
      <c r="F5">
        <f t="shared" si="2"/>
        <v>1</v>
      </c>
      <c r="G5" s="22">
        <f t="shared" si="3"/>
        <v>3.2258064516129031E-2</v>
      </c>
    </row>
    <row r="6" spans="1:11" ht="15.75" customHeight="1">
      <c r="A6" s="3">
        <v>21555</v>
      </c>
      <c r="B6" s="4">
        <v>44</v>
      </c>
      <c r="C6">
        <f t="shared" si="4"/>
        <v>31</v>
      </c>
      <c r="D6">
        <f t="shared" si="0"/>
        <v>13</v>
      </c>
      <c r="E6">
        <f t="shared" si="1"/>
        <v>13</v>
      </c>
      <c r="F6">
        <f t="shared" si="2"/>
        <v>169</v>
      </c>
      <c r="G6" s="22">
        <f t="shared" si="3"/>
        <v>0.29545454545454547</v>
      </c>
    </row>
    <row r="7" spans="1:11" ht="15.75" customHeight="1">
      <c r="A7" s="3">
        <v>21556</v>
      </c>
      <c r="B7" s="4">
        <v>29</v>
      </c>
      <c r="C7">
        <f t="shared" si="4"/>
        <v>44</v>
      </c>
      <c r="D7">
        <f t="shared" si="0"/>
        <v>-15</v>
      </c>
      <c r="E7">
        <f t="shared" si="1"/>
        <v>15</v>
      </c>
      <c r="F7">
        <f t="shared" si="2"/>
        <v>225</v>
      </c>
      <c r="G7" s="22">
        <f t="shared" si="3"/>
        <v>0.51724137931034486</v>
      </c>
    </row>
    <row r="8" spans="1:11" ht="15.75" customHeight="1">
      <c r="A8" s="3">
        <v>21557</v>
      </c>
      <c r="B8" s="4">
        <v>45</v>
      </c>
      <c r="C8">
        <f t="shared" si="4"/>
        <v>29</v>
      </c>
      <c r="D8">
        <f t="shared" si="0"/>
        <v>16</v>
      </c>
      <c r="E8">
        <f t="shared" si="1"/>
        <v>16</v>
      </c>
      <c r="F8">
        <f t="shared" si="2"/>
        <v>256</v>
      </c>
      <c r="G8" s="22">
        <f t="shared" si="3"/>
        <v>0.35555555555555557</v>
      </c>
      <c r="J8" s="6" t="s">
        <v>7</v>
      </c>
      <c r="K8" s="7">
        <f>AVERAGE(E3:E366)</f>
        <v>7.2719780219780219</v>
      </c>
    </row>
    <row r="9" spans="1:11" ht="15.75" customHeight="1">
      <c r="A9" s="3">
        <v>21558</v>
      </c>
      <c r="B9" s="4">
        <v>43</v>
      </c>
      <c r="C9">
        <f t="shared" si="4"/>
        <v>45</v>
      </c>
      <c r="D9">
        <f t="shared" si="0"/>
        <v>-2</v>
      </c>
      <c r="E9">
        <f t="shared" si="1"/>
        <v>2</v>
      </c>
      <c r="F9">
        <f t="shared" si="2"/>
        <v>4</v>
      </c>
      <c r="G9" s="22">
        <f t="shared" si="3"/>
        <v>4.6511627906976744E-2</v>
      </c>
      <c r="J9" s="2" t="s">
        <v>8</v>
      </c>
      <c r="K9" s="8">
        <f>AVERAGE(F3:F366)</f>
        <v>84.222527472527474</v>
      </c>
    </row>
    <row r="10" spans="1:11" ht="15.75" customHeight="1">
      <c r="A10" s="3">
        <v>21559</v>
      </c>
      <c r="B10" s="4">
        <v>38</v>
      </c>
      <c r="C10">
        <f t="shared" si="4"/>
        <v>43</v>
      </c>
      <c r="D10">
        <f t="shared" si="0"/>
        <v>-5</v>
      </c>
      <c r="E10">
        <f t="shared" si="1"/>
        <v>5</v>
      </c>
      <c r="F10">
        <f t="shared" si="2"/>
        <v>25</v>
      </c>
      <c r="G10" s="22">
        <f t="shared" si="3"/>
        <v>0.13157894736842105</v>
      </c>
      <c r="J10" s="2" t="s">
        <v>9</v>
      </c>
      <c r="K10" s="21">
        <f>AVERAGE(G3:G366)</f>
        <v>0.17526300048633245</v>
      </c>
    </row>
    <row r="11" spans="1:11" ht="15.75" customHeight="1">
      <c r="A11" s="3">
        <v>21560</v>
      </c>
      <c r="B11" s="4">
        <v>27</v>
      </c>
      <c r="C11">
        <f t="shared" si="4"/>
        <v>38</v>
      </c>
      <c r="D11">
        <f t="shared" si="0"/>
        <v>-11</v>
      </c>
      <c r="E11">
        <f t="shared" si="1"/>
        <v>11</v>
      </c>
      <c r="F11">
        <f t="shared" si="2"/>
        <v>121</v>
      </c>
      <c r="G11" s="22">
        <f t="shared" si="3"/>
        <v>0.40740740740740738</v>
      </c>
      <c r="J11" s="9" t="s">
        <v>10</v>
      </c>
      <c r="K11" s="26">
        <f>100% -K10</f>
        <v>0.82473699951366752</v>
      </c>
    </row>
    <row r="12" spans="1:11" ht="15.75" customHeight="1">
      <c r="A12" s="3">
        <v>21561</v>
      </c>
      <c r="B12" s="4">
        <v>38</v>
      </c>
      <c r="C12">
        <f t="shared" si="4"/>
        <v>27</v>
      </c>
      <c r="D12">
        <f t="shared" si="0"/>
        <v>11</v>
      </c>
      <c r="E12">
        <f t="shared" si="1"/>
        <v>11</v>
      </c>
      <c r="F12">
        <f t="shared" si="2"/>
        <v>121</v>
      </c>
      <c r="G12" s="22">
        <f t="shared" si="3"/>
        <v>0.28947368421052633</v>
      </c>
    </row>
    <row r="13" spans="1:11" ht="15.75" customHeight="1">
      <c r="A13" s="3">
        <v>21562</v>
      </c>
      <c r="B13" s="4">
        <v>33</v>
      </c>
      <c r="C13">
        <f t="shared" si="4"/>
        <v>38</v>
      </c>
      <c r="D13">
        <f t="shared" si="0"/>
        <v>-5</v>
      </c>
      <c r="E13">
        <f t="shared" si="1"/>
        <v>5</v>
      </c>
      <c r="F13">
        <f t="shared" si="2"/>
        <v>25</v>
      </c>
      <c r="G13" s="22">
        <f t="shared" si="3"/>
        <v>0.15151515151515152</v>
      </c>
    </row>
    <row r="14" spans="1:11" ht="15.75" customHeight="1">
      <c r="A14" s="3">
        <v>21563</v>
      </c>
      <c r="B14" s="4">
        <v>55</v>
      </c>
      <c r="C14">
        <f t="shared" si="4"/>
        <v>33</v>
      </c>
      <c r="D14">
        <f t="shared" si="0"/>
        <v>22</v>
      </c>
      <c r="E14">
        <f t="shared" si="1"/>
        <v>22</v>
      </c>
      <c r="F14">
        <f t="shared" si="2"/>
        <v>484</v>
      </c>
      <c r="G14" s="22">
        <f t="shared" si="3"/>
        <v>0.4</v>
      </c>
    </row>
    <row r="15" spans="1:11" ht="15.75" customHeight="1">
      <c r="A15" s="3">
        <v>21564</v>
      </c>
      <c r="B15" s="4">
        <v>47</v>
      </c>
      <c r="C15">
        <f t="shared" si="4"/>
        <v>55</v>
      </c>
      <c r="D15">
        <f t="shared" si="0"/>
        <v>-8</v>
      </c>
      <c r="E15">
        <f t="shared" si="1"/>
        <v>8</v>
      </c>
      <c r="F15">
        <f t="shared" si="2"/>
        <v>64</v>
      </c>
      <c r="G15" s="22">
        <f t="shared" si="3"/>
        <v>0.1702127659574468</v>
      </c>
    </row>
    <row r="16" spans="1:11" ht="15.75" customHeight="1">
      <c r="A16" s="3">
        <v>21565</v>
      </c>
      <c r="B16" s="4">
        <v>45</v>
      </c>
      <c r="C16">
        <f t="shared" si="4"/>
        <v>47</v>
      </c>
      <c r="D16">
        <f t="shared" si="0"/>
        <v>-2</v>
      </c>
      <c r="E16">
        <f t="shared" si="1"/>
        <v>2</v>
      </c>
      <c r="F16">
        <f t="shared" si="2"/>
        <v>4</v>
      </c>
      <c r="G16" s="22">
        <f t="shared" si="3"/>
        <v>4.4444444444444446E-2</v>
      </c>
    </row>
    <row r="17" spans="1:7" ht="15.75" customHeight="1">
      <c r="A17" s="3">
        <v>21566</v>
      </c>
      <c r="B17" s="4">
        <v>37</v>
      </c>
      <c r="C17">
        <f t="shared" si="4"/>
        <v>45</v>
      </c>
      <c r="D17">
        <f t="shared" si="0"/>
        <v>-8</v>
      </c>
      <c r="E17">
        <f t="shared" si="1"/>
        <v>8</v>
      </c>
      <c r="F17">
        <f t="shared" si="2"/>
        <v>64</v>
      </c>
      <c r="G17" s="22">
        <f t="shared" si="3"/>
        <v>0.21621621621621623</v>
      </c>
    </row>
    <row r="18" spans="1:7" ht="15.75" customHeight="1">
      <c r="A18" s="3">
        <v>21567</v>
      </c>
      <c r="B18" s="4">
        <v>50</v>
      </c>
      <c r="C18">
        <f t="shared" si="4"/>
        <v>37</v>
      </c>
      <c r="D18">
        <f t="shared" si="0"/>
        <v>13</v>
      </c>
      <c r="E18">
        <f t="shared" si="1"/>
        <v>13</v>
      </c>
      <c r="F18">
        <f t="shared" si="2"/>
        <v>169</v>
      </c>
      <c r="G18" s="22">
        <f t="shared" si="3"/>
        <v>0.26</v>
      </c>
    </row>
    <row r="19" spans="1:7" ht="15.75" customHeight="1">
      <c r="A19" s="3">
        <v>21568</v>
      </c>
      <c r="B19" s="4">
        <v>43</v>
      </c>
      <c r="C19">
        <f t="shared" si="4"/>
        <v>50</v>
      </c>
      <c r="D19">
        <f t="shared" si="0"/>
        <v>-7</v>
      </c>
      <c r="E19">
        <f t="shared" si="1"/>
        <v>7</v>
      </c>
      <c r="F19">
        <f t="shared" si="2"/>
        <v>49</v>
      </c>
      <c r="G19" s="22">
        <f t="shared" si="3"/>
        <v>0.16279069767441862</v>
      </c>
    </row>
    <row r="20" spans="1:7" ht="15.75" customHeight="1">
      <c r="A20" s="3">
        <v>21569</v>
      </c>
      <c r="B20" s="4">
        <v>41</v>
      </c>
      <c r="C20">
        <f t="shared" si="4"/>
        <v>43</v>
      </c>
      <c r="D20">
        <f t="shared" si="0"/>
        <v>-2</v>
      </c>
      <c r="E20">
        <f t="shared" si="1"/>
        <v>2</v>
      </c>
      <c r="F20">
        <f t="shared" si="2"/>
        <v>4</v>
      </c>
      <c r="G20" s="22">
        <f t="shared" si="3"/>
        <v>4.878048780487805E-2</v>
      </c>
    </row>
    <row r="21" spans="1:7" ht="15.75" customHeight="1">
      <c r="A21" s="3">
        <v>21570</v>
      </c>
      <c r="B21" s="4">
        <v>52</v>
      </c>
      <c r="C21">
        <f t="shared" si="4"/>
        <v>41</v>
      </c>
      <c r="D21">
        <f t="shared" si="0"/>
        <v>11</v>
      </c>
      <c r="E21">
        <f t="shared" si="1"/>
        <v>11</v>
      </c>
      <c r="F21">
        <f t="shared" si="2"/>
        <v>121</v>
      </c>
      <c r="G21" s="22">
        <f t="shared" si="3"/>
        <v>0.21153846153846154</v>
      </c>
    </row>
    <row r="22" spans="1:7" ht="15.75" customHeight="1">
      <c r="A22" s="3">
        <v>21571</v>
      </c>
      <c r="B22" s="4">
        <v>34</v>
      </c>
      <c r="C22">
        <f t="shared" si="4"/>
        <v>52</v>
      </c>
      <c r="D22">
        <f t="shared" si="0"/>
        <v>-18</v>
      </c>
      <c r="E22">
        <f t="shared" si="1"/>
        <v>18</v>
      </c>
      <c r="F22">
        <f t="shared" si="2"/>
        <v>324</v>
      </c>
      <c r="G22" s="22">
        <f t="shared" si="3"/>
        <v>0.52941176470588236</v>
      </c>
    </row>
    <row r="23" spans="1:7" ht="15.75" customHeight="1">
      <c r="A23" s="3">
        <v>21572</v>
      </c>
      <c r="B23" s="4">
        <v>53</v>
      </c>
      <c r="C23">
        <f t="shared" si="4"/>
        <v>34</v>
      </c>
      <c r="D23">
        <f t="shared" si="0"/>
        <v>19</v>
      </c>
      <c r="E23">
        <f t="shared" si="1"/>
        <v>19</v>
      </c>
      <c r="F23">
        <f t="shared" si="2"/>
        <v>361</v>
      </c>
      <c r="G23" s="22">
        <f t="shared" si="3"/>
        <v>0.35849056603773582</v>
      </c>
    </row>
    <row r="24" spans="1:7" ht="15.75" customHeight="1">
      <c r="A24" s="3">
        <v>21573</v>
      </c>
      <c r="B24" s="4">
        <v>39</v>
      </c>
      <c r="C24">
        <f t="shared" si="4"/>
        <v>53</v>
      </c>
      <c r="D24">
        <f t="shared" si="0"/>
        <v>-14</v>
      </c>
      <c r="E24">
        <f t="shared" si="1"/>
        <v>14</v>
      </c>
      <c r="F24">
        <f t="shared" si="2"/>
        <v>196</v>
      </c>
      <c r="G24" s="22">
        <f t="shared" si="3"/>
        <v>0.35897435897435898</v>
      </c>
    </row>
    <row r="25" spans="1:7" ht="15.75" customHeight="1">
      <c r="A25" s="3">
        <v>21574</v>
      </c>
      <c r="B25" s="4">
        <v>32</v>
      </c>
      <c r="C25">
        <f t="shared" si="4"/>
        <v>39</v>
      </c>
      <c r="D25">
        <f t="shared" si="0"/>
        <v>-7</v>
      </c>
      <c r="E25">
        <f t="shared" si="1"/>
        <v>7</v>
      </c>
      <c r="F25">
        <f t="shared" si="2"/>
        <v>49</v>
      </c>
      <c r="G25" s="22">
        <f t="shared" si="3"/>
        <v>0.21875</v>
      </c>
    </row>
    <row r="26" spans="1:7" ht="15.75" customHeight="1">
      <c r="A26" s="3">
        <v>21575</v>
      </c>
      <c r="B26" s="4">
        <v>37</v>
      </c>
      <c r="C26">
        <f t="shared" si="4"/>
        <v>32</v>
      </c>
      <c r="D26">
        <f t="shared" si="0"/>
        <v>5</v>
      </c>
      <c r="E26">
        <f t="shared" si="1"/>
        <v>5</v>
      </c>
      <c r="F26">
        <f t="shared" si="2"/>
        <v>25</v>
      </c>
      <c r="G26" s="22">
        <f t="shared" si="3"/>
        <v>0.13513513513513514</v>
      </c>
    </row>
    <row r="27" spans="1:7" ht="15.75" customHeight="1">
      <c r="A27" s="3">
        <v>21576</v>
      </c>
      <c r="B27" s="4">
        <v>43</v>
      </c>
      <c r="C27">
        <f t="shared" si="4"/>
        <v>37</v>
      </c>
      <c r="D27">
        <f t="shared" si="0"/>
        <v>6</v>
      </c>
      <c r="E27">
        <f t="shared" si="1"/>
        <v>6</v>
      </c>
      <c r="F27">
        <f t="shared" si="2"/>
        <v>36</v>
      </c>
      <c r="G27" s="22">
        <f t="shared" si="3"/>
        <v>0.13953488372093023</v>
      </c>
    </row>
    <row r="28" spans="1:7" ht="15.75" customHeight="1">
      <c r="A28" s="3">
        <v>21577</v>
      </c>
      <c r="B28" s="4">
        <v>39</v>
      </c>
      <c r="C28">
        <f t="shared" si="4"/>
        <v>43</v>
      </c>
      <c r="D28">
        <f t="shared" si="0"/>
        <v>-4</v>
      </c>
      <c r="E28">
        <f t="shared" si="1"/>
        <v>4</v>
      </c>
      <c r="F28">
        <f t="shared" si="2"/>
        <v>16</v>
      </c>
      <c r="G28" s="22">
        <f t="shared" si="3"/>
        <v>0.10256410256410256</v>
      </c>
    </row>
    <row r="29" spans="1:7" ht="15.75" customHeight="1">
      <c r="A29" s="3">
        <v>21578</v>
      </c>
      <c r="B29" s="4">
        <v>35</v>
      </c>
      <c r="C29">
        <f t="shared" si="4"/>
        <v>39</v>
      </c>
      <c r="D29">
        <f t="shared" si="0"/>
        <v>-4</v>
      </c>
      <c r="E29">
        <f t="shared" si="1"/>
        <v>4</v>
      </c>
      <c r="F29">
        <f t="shared" si="2"/>
        <v>16</v>
      </c>
      <c r="G29" s="22">
        <f t="shared" si="3"/>
        <v>0.11428571428571428</v>
      </c>
    </row>
    <row r="30" spans="1:7" ht="15.75" customHeight="1">
      <c r="A30" s="3">
        <v>21579</v>
      </c>
      <c r="B30" s="4">
        <v>44</v>
      </c>
      <c r="C30">
        <f t="shared" si="4"/>
        <v>35</v>
      </c>
      <c r="D30">
        <f t="shared" si="0"/>
        <v>9</v>
      </c>
      <c r="E30">
        <f t="shared" si="1"/>
        <v>9</v>
      </c>
      <c r="F30">
        <f t="shared" si="2"/>
        <v>81</v>
      </c>
      <c r="G30" s="22">
        <f t="shared" si="3"/>
        <v>0.20454545454545456</v>
      </c>
    </row>
    <row r="31" spans="1:7" ht="15.75" customHeight="1">
      <c r="A31" s="3">
        <v>21580</v>
      </c>
      <c r="B31" s="4">
        <v>38</v>
      </c>
      <c r="C31">
        <f t="shared" si="4"/>
        <v>44</v>
      </c>
      <c r="D31">
        <f t="shared" si="0"/>
        <v>-6</v>
      </c>
      <c r="E31">
        <f t="shared" si="1"/>
        <v>6</v>
      </c>
      <c r="F31">
        <f t="shared" si="2"/>
        <v>36</v>
      </c>
      <c r="G31" s="22">
        <f t="shared" si="3"/>
        <v>0.15789473684210525</v>
      </c>
    </row>
    <row r="32" spans="1:7" ht="15.75" customHeight="1">
      <c r="A32" s="3">
        <v>21581</v>
      </c>
      <c r="B32" s="4">
        <v>24</v>
      </c>
      <c r="C32">
        <f t="shared" si="4"/>
        <v>38</v>
      </c>
      <c r="D32">
        <f t="shared" si="0"/>
        <v>-14</v>
      </c>
      <c r="E32">
        <f t="shared" si="1"/>
        <v>14</v>
      </c>
      <c r="F32">
        <f t="shared" si="2"/>
        <v>196</v>
      </c>
      <c r="G32" s="22">
        <f t="shared" si="3"/>
        <v>0.58333333333333337</v>
      </c>
    </row>
    <row r="33" spans="1:7" ht="15.75" customHeight="1">
      <c r="A33" s="3">
        <v>21582</v>
      </c>
      <c r="B33" s="4">
        <v>23</v>
      </c>
      <c r="C33">
        <f t="shared" si="4"/>
        <v>24</v>
      </c>
      <c r="D33">
        <f t="shared" si="0"/>
        <v>-1</v>
      </c>
      <c r="E33">
        <f t="shared" si="1"/>
        <v>1</v>
      </c>
      <c r="F33">
        <f t="shared" si="2"/>
        <v>1</v>
      </c>
      <c r="G33" s="22">
        <f t="shared" si="3"/>
        <v>4.3478260869565216E-2</v>
      </c>
    </row>
    <row r="34" spans="1:7" ht="15.75" customHeight="1">
      <c r="A34" s="3">
        <v>21583</v>
      </c>
      <c r="B34" s="4">
        <v>31</v>
      </c>
      <c r="C34">
        <f t="shared" si="4"/>
        <v>23</v>
      </c>
      <c r="D34">
        <f t="shared" si="0"/>
        <v>8</v>
      </c>
      <c r="E34">
        <f t="shared" si="1"/>
        <v>8</v>
      </c>
      <c r="F34">
        <f t="shared" si="2"/>
        <v>64</v>
      </c>
      <c r="G34" s="22">
        <f t="shared" si="3"/>
        <v>0.25806451612903225</v>
      </c>
    </row>
    <row r="35" spans="1:7" ht="15.75" customHeight="1">
      <c r="A35" s="3">
        <v>21584</v>
      </c>
      <c r="B35" s="4">
        <v>44</v>
      </c>
      <c r="C35">
        <f t="shared" si="4"/>
        <v>31</v>
      </c>
      <c r="D35">
        <f t="shared" si="0"/>
        <v>13</v>
      </c>
      <c r="E35">
        <f t="shared" si="1"/>
        <v>13</v>
      </c>
      <c r="F35">
        <f t="shared" si="2"/>
        <v>169</v>
      </c>
      <c r="G35" s="22">
        <f t="shared" si="3"/>
        <v>0.29545454545454547</v>
      </c>
    </row>
    <row r="36" spans="1:7" ht="15.75" customHeight="1">
      <c r="A36" s="3">
        <v>21585</v>
      </c>
      <c r="B36" s="4">
        <v>38</v>
      </c>
      <c r="C36">
        <f t="shared" si="4"/>
        <v>44</v>
      </c>
      <c r="D36">
        <f t="shared" si="0"/>
        <v>-6</v>
      </c>
      <c r="E36">
        <f t="shared" si="1"/>
        <v>6</v>
      </c>
      <c r="F36">
        <f t="shared" si="2"/>
        <v>36</v>
      </c>
      <c r="G36" s="22">
        <f t="shared" si="3"/>
        <v>0.15789473684210525</v>
      </c>
    </row>
    <row r="37" spans="1:7" ht="15.75" customHeight="1">
      <c r="A37" s="3">
        <v>21586</v>
      </c>
      <c r="B37" s="4">
        <v>50</v>
      </c>
      <c r="C37">
        <f t="shared" si="4"/>
        <v>38</v>
      </c>
      <c r="D37">
        <f t="shared" si="0"/>
        <v>12</v>
      </c>
      <c r="E37">
        <f t="shared" si="1"/>
        <v>12</v>
      </c>
      <c r="F37">
        <f t="shared" si="2"/>
        <v>144</v>
      </c>
      <c r="G37" s="22">
        <f t="shared" si="3"/>
        <v>0.24</v>
      </c>
    </row>
    <row r="38" spans="1:7" ht="15.75" customHeight="1">
      <c r="A38" s="3">
        <v>21587</v>
      </c>
      <c r="B38" s="4">
        <v>38</v>
      </c>
      <c r="C38">
        <f t="shared" si="4"/>
        <v>50</v>
      </c>
      <c r="D38">
        <f t="shared" si="0"/>
        <v>-12</v>
      </c>
      <c r="E38">
        <f t="shared" si="1"/>
        <v>12</v>
      </c>
      <c r="F38">
        <f t="shared" si="2"/>
        <v>144</v>
      </c>
      <c r="G38" s="22">
        <f t="shared" si="3"/>
        <v>0.31578947368421051</v>
      </c>
    </row>
    <row r="39" spans="1:7" ht="15.75" customHeight="1">
      <c r="A39" s="3">
        <v>21588</v>
      </c>
      <c r="B39" s="4">
        <v>51</v>
      </c>
      <c r="C39">
        <f t="shared" si="4"/>
        <v>38</v>
      </c>
      <c r="D39">
        <f t="shared" si="0"/>
        <v>13</v>
      </c>
      <c r="E39">
        <f t="shared" si="1"/>
        <v>13</v>
      </c>
      <c r="F39">
        <f t="shared" si="2"/>
        <v>169</v>
      </c>
      <c r="G39" s="22">
        <f t="shared" si="3"/>
        <v>0.25490196078431371</v>
      </c>
    </row>
    <row r="40" spans="1:7" ht="15.75" customHeight="1">
      <c r="A40" s="3">
        <v>21589</v>
      </c>
      <c r="B40" s="4">
        <v>31</v>
      </c>
      <c r="C40">
        <f t="shared" si="4"/>
        <v>51</v>
      </c>
      <c r="D40">
        <f t="shared" si="0"/>
        <v>-20</v>
      </c>
      <c r="E40">
        <f t="shared" si="1"/>
        <v>20</v>
      </c>
      <c r="F40">
        <f t="shared" si="2"/>
        <v>400</v>
      </c>
      <c r="G40" s="22">
        <f t="shared" si="3"/>
        <v>0.64516129032258063</v>
      </c>
    </row>
    <row r="41" spans="1:7" ht="15.75" customHeight="1">
      <c r="A41" s="3">
        <v>21590</v>
      </c>
      <c r="B41" s="4">
        <v>31</v>
      </c>
      <c r="C41">
        <f t="shared" si="4"/>
        <v>31</v>
      </c>
      <c r="D41">
        <f t="shared" si="0"/>
        <v>0</v>
      </c>
      <c r="E41">
        <f t="shared" si="1"/>
        <v>0</v>
      </c>
      <c r="F41">
        <f t="shared" si="2"/>
        <v>0</v>
      </c>
      <c r="G41" s="22">
        <f t="shared" si="3"/>
        <v>0</v>
      </c>
    </row>
    <row r="42" spans="1:7" ht="15.75" customHeight="1">
      <c r="A42" s="3">
        <v>21591</v>
      </c>
      <c r="B42" s="4">
        <v>51</v>
      </c>
      <c r="C42">
        <f t="shared" si="4"/>
        <v>31</v>
      </c>
      <c r="D42">
        <f t="shared" si="0"/>
        <v>20</v>
      </c>
      <c r="E42">
        <f t="shared" si="1"/>
        <v>20</v>
      </c>
      <c r="F42">
        <f t="shared" si="2"/>
        <v>400</v>
      </c>
      <c r="G42" s="22">
        <f t="shared" si="3"/>
        <v>0.39215686274509803</v>
      </c>
    </row>
    <row r="43" spans="1:7" ht="15.75" customHeight="1">
      <c r="A43" s="3">
        <v>21592</v>
      </c>
      <c r="B43" s="4">
        <v>36</v>
      </c>
      <c r="C43">
        <f t="shared" si="4"/>
        <v>51</v>
      </c>
      <c r="D43">
        <f t="shared" si="0"/>
        <v>-15</v>
      </c>
      <c r="E43">
        <f t="shared" si="1"/>
        <v>15</v>
      </c>
      <c r="F43">
        <f t="shared" si="2"/>
        <v>225</v>
      </c>
      <c r="G43" s="22">
        <f t="shared" si="3"/>
        <v>0.41666666666666669</v>
      </c>
    </row>
    <row r="44" spans="1:7" ht="15.75" customHeight="1">
      <c r="A44" s="3">
        <v>21593</v>
      </c>
      <c r="B44" s="4">
        <v>45</v>
      </c>
      <c r="C44">
        <f t="shared" si="4"/>
        <v>36</v>
      </c>
      <c r="D44">
        <f t="shared" si="0"/>
        <v>9</v>
      </c>
      <c r="E44">
        <f t="shared" si="1"/>
        <v>9</v>
      </c>
      <c r="F44">
        <f t="shared" si="2"/>
        <v>81</v>
      </c>
      <c r="G44" s="22">
        <f t="shared" si="3"/>
        <v>0.2</v>
      </c>
    </row>
    <row r="45" spans="1:7" ht="15.75" customHeight="1">
      <c r="A45" s="3">
        <v>21594</v>
      </c>
      <c r="B45" s="4">
        <v>51</v>
      </c>
      <c r="C45">
        <f t="shared" si="4"/>
        <v>45</v>
      </c>
      <c r="D45">
        <f t="shared" si="0"/>
        <v>6</v>
      </c>
      <c r="E45">
        <f t="shared" si="1"/>
        <v>6</v>
      </c>
      <c r="F45">
        <f t="shared" si="2"/>
        <v>36</v>
      </c>
      <c r="G45" s="22">
        <f t="shared" si="3"/>
        <v>0.11764705882352941</v>
      </c>
    </row>
    <row r="46" spans="1:7" ht="15.75" customHeight="1">
      <c r="A46" s="3">
        <v>21595</v>
      </c>
      <c r="B46" s="4">
        <v>34</v>
      </c>
      <c r="C46">
        <f t="shared" si="4"/>
        <v>51</v>
      </c>
      <c r="D46">
        <f t="shared" si="0"/>
        <v>-17</v>
      </c>
      <c r="E46">
        <f t="shared" si="1"/>
        <v>17</v>
      </c>
      <c r="F46">
        <f t="shared" si="2"/>
        <v>289</v>
      </c>
      <c r="G46" s="22">
        <f t="shared" si="3"/>
        <v>0.5</v>
      </c>
    </row>
    <row r="47" spans="1:7" ht="15.75" customHeight="1">
      <c r="A47" s="3">
        <v>21596</v>
      </c>
      <c r="B47" s="4">
        <v>52</v>
      </c>
      <c r="C47">
        <f t="shared" si="4"/>
        <v>34</v>
      </c>
      <c r="D47">
        <f t="shared" si="0"/>
        <v>18</v>
      </c>
      <c r="E47">
        <f t="shared" si="1"/>
        <v>18</v>
      </c>
      <c r="F47">
        <f t="shared" si="2"/>
        <v>324</v>
      </c>
      <c r="G47" s="22">
        <f t="shared" si="3"/>
        <v>0.34615384615384615</v>
      </c>
    </row>
    <row r="48" spans="1:7" ht="15.75" customHeight="1">
      <c r="A48" s="3">
        <v>21597</v>
      </c>
      <c r="B48" s="4">
        <v>47</v>
      </c>
      <c r="C48">
        <f t="shared" si="4"/>
        <v>52</v>
      </c>
      <c r="D48">
        <f t="shared" si="0"/>
        <v>-5</v>
      </c>
      <c r="E48">
        <f t="shared" si="1"/>
        <v>5</v>
      </c>
      <c r="F48">
        <f t="shared" si="2"/>
        <v>25</v>
      </c>
      <c r="G48" s="22">
        <f t="shared" si="3"/>
        <v>0.10638297872340426</v>
      </c>
    </row>
    <row r="49" spans="1:7" ht="15.75" customHeight="1">
      <c r="A49" s="3">
        <v>21598</v>
      </c>
      <c r="B49" s="4">
        <v>45</v>
      </c>
      <c r="C49">
        <f t="shared" si="4"/>
        <v>47</v>
      </c>
      <c r="D49">
        <f t="shared" si="0"/>
        <v>-2</v>
      </c>
      <c r="E49">
        <f t="shared" si="1"/>
        <v>2</v>
      </c>
      <c r="F49">
        <f t="shared" si="2"/>
        <v>4</v>
      </c>
      <c r="G49" s="22">
        <f t="shared" si="3"/>
        <v>4.4444444444444446E-2</v>
      </c>
    </row>
    <row r="50" spans="1:7" ht="15.75" customHeight="1">
      <c r="A50" s="3">
        <v>21599</v>
      </c>
      <c r="B50" s="4">
        <v>46</v>
      </c>
      <c r="C50">
        <f t="shared" si="4"/>
        <v>45</v>
      </c>
      <c r="D50">
        <f t="shared" si="0"/>
        <v>1</v>
      </c>
      <c r="E50">
        <f t="shared" si="1"/>
        <v>1</v>
      </c>
      <c r="F50">
        <f t="shared" si="2"/>
        <v>1</v>
      </c>
      <c r="G50" s="22">
        <f t="shared" si="3"/>
        <v>2.1739130434782608E-2</v>
      </c>
    </row>
    <row r="51" spans="1:7" ht="15.75" customHeight="1">
      <c r="A51" s="3">
        <v>21600</v>
      </c>
      <c r="B51" s="4">
        <v>39</v>
      </c>
      <c r="C51">
        <f t="shared" si="4"/>
        <v>46</v>
      </c>
      <c r="D51">
        <f t="shared" si="0"/>
        <v>-7</v>
      </c>
      <c r="E51">
        <f t="shared" si="1"/>
        <v>7</v>
      </c>
      <c r="F51">
        <f t="shared" si="2"/>
        <v>49</v>
      </c>
      <c r="G51" s="22">
        <f t="shared" si="3"/>
        <v>0.17948717948717949</v>
      </c>
    </row>
    <row r="52" spans="1:7" ht="15.75" customHeight="1">
      <c r="A52" s="3">
        <v>21601</v>
      </c>
      <c r="B52" s="4">
        <v>48</v>
      </c>
      <c r="C52">
        <f t="shared" si="4"/>
        <v>39</v>
      </c>
      <c r="D52">
        <f t="shared" si="0"/>
        <v>9</v>
      </c>
      <c r="E52">
        <f t="shared" si="1"/>
        <v>9</v>
      </c>
      <c r="F52">
        <f t="shared" si="2"/>
        <v>81</v>
      </c>
      <c r="G52" s="22">
        <f t="shared" si="3"/>
        <v>0.1875</v>
      </c>
    </row>
    <row r="53" spans="1:7" ht="15.75" customHeight="1">
      <c r="A53" s="3">
        <v>21602</v>
      </c>
      <c r="B53" s="4">
        <v>37</v>
      </c>
      <c r="C53">
        <f t="shared" si="4"/>
        <v>48</v>
      </c>
      <c r="D53">
        <f t="shared" si="0"/>
        <v>-11</v>
      </c>
      <c r="E53">
        <f t="shared" si="1"/>
        <v>11</v>
      </c>
      <c r="F53">
        <f t="shared" si="2"/>
        <v>121</v>
      </c>
      <c r="G53" s="22">
        <f t="shared" si="3"/>
        <v>0.29729729729729731</v>
      </c>
    </row>
    <row r="54" spans="1:7" ht="15.75" customHeight="1">
      <c r="A54" s="3">
        <v>21603</v>
      </c>
      <c r="B54" s="4">
        <v>35</v>
      </c>
      <c r="C54">
        <f t="shared" si="4"/>
        <v>37</v>
      </c>
      <c r="D54">
        <f t="shared" si="0"/>
        <v>-2</v>
      </c>
      <c r="E54">
        <f t="shared" si="1"/>
        <v>2</v>
      </c>
      <c r="F54">
        <f t="shared" si="2"/>
        <v>4</v>
      </c>
      <c r="G54" s="22">
        <f t="shared" si="3"/>
        <v>5.7142857142857141E-2</v>
      </c>
    </row>
    <row r="55" spans="1:7" ht="15.75" customHeight="1">
      <c r="A55" s="3">
        <v>21604</v>
      </c>
      <c r="B55" s="4">
        <v>52</v>
      </c>
      <c r="C55">
        <f t="shared" si="4"/>
        <v>35</v>
      </c>
      <c r="D55">
        <f t="shared" si="0"/>
        <v>17</v>
      </c>
      <c r="E55">
        <f t="shared" si="1"/>
        <v>17</v>
      </c>
      <c r="F55">
        <f t="shared" si="2"/>
        <v>289</v>
      </c>
      <c r="G55" s="22">
        <f t="shared" si="3"/>
        <v>0.32692307692307693</v>
      </c>
    </row>
    <row r="56" spans="1:7" ht="15.75" customHeight="1">
      <c r="A56" s="3">
        <v>21605</v>
      </c>
      <c r="B56" s="4">
        <v>42</v>
      </c>
      <c r="C56">
        <f t="shared" si="4"/>
        <v>52</v>
      </c>
      <c r="D56">
        <f t="shared" si="0"/>
        <v>-10</v>
      </c>
      <c r="E56">
        <f t="shared" si="1"/>
        <v>10</v>
      </c>
      <c r="F56">
        <f t="shared" si="2"/>
        <v>100</v>
      </c>
      <c r="G56" s="22">
        <f t="shared" si="3"/>
        <v>0.23809523809523808</v>
      </c>
    </row>
    <row r="57" spans="1:7" ht="15.75" customHeight="1">
      <c r="A57" s="3">
        <v>21606</v>
      </c>
      <c r="B57" s="4">
        <v>45</v>
      </c>
      <c r="C57">
        <f t="shared" si="4"/>
        <v>42</v>
      </c>
      <c r="D57">
        <f t="shared" si="0"/>
        <v>3</v>
      </c>
      <c r="E57">
        <f t="shared" si="1"/>
        <v>3</v>
      </c>
      <c r="F57">
        <f t="shared" si="2"/>
        <v>9</v>
      </c>
      <c r="G57" s="22">
        <f t="shared" si="3"/>
        <v>6.6666666666666666E-2</v>
      </c>
    </row>
    <row r="58" spans="1:7" ht="15.75" customHeight="1">
      <c r="A58" s="3">
        <v>21607</v>
      </c>
      <c r="B58" s="4">
        <v>39</v>
      </c>
      <c r="C58">
        <f t="shared" si="4"/>
        <v>45</v>
      </c>
      <c r="D58">
        <f t="shared" si="0"/>
        <v>-6</v>
      </c>
      <c r="E58">
        <f t="shared" si="1"/>
        <v>6</v>
      </c>
      <c r="F58">
        <f t="shared" si="2"/>
        <v>36</v>
      </c>
      <c r="G58" s="22">
        <f t="shared" si="3"/>
        <v>0.15384615384615385</v>
      </c>
    </row>
    <row r="59" spans="1:7" ht="15.75" customHeight="1">
      <c r="A59" s="3">
        <v>21608</v>
      </c>
      <c r="B59" s="4">
        <v>37</v>
      </c>
      <c r="C59">
        <f t="shared" si="4"/>
        <v>39</v>
      </c>
      <c r="D59">
        <f t="shared" si="0"/>
        <v>-2</v>
      </c>
      <c r="E59">
        <f t="shared" si="1"/>
        <v>2</v>
      </c>
      <c r="F59">
        <f t="shared" si="2"/>
        <v>4</v>
      </c>
      <c r="G59" s="22">
        <f t="shared" si="3"/>
        <v>5.4054054054054057E-2</v>
      </c>
    </row>
    <row r="60" spans="1:7" ht="15.75" customHeight="1">
      <c r="A60" s="3">
        <v>21609</v>
      </c>
      <c r="B60" s="4">
        <v>30</v>
      </c>
      <c r="C60">
        <f t="shared" si="4"/>
        <v>37</v>
      </c>
      <c r="D60">
        <f t="shared" si="0"/>
        <v>-7</v>
      </c>
      <c r="E60">
        <f t="shared" si="1"/>
        <v>7</v>
      </c>
      <c r="F60">
        <f t="shared" si="2"/>
        <v>49</v>
      </c>
      <c r="G60" s="22">
        <f t="shared" si="3"/>
        <v>0.23333333333333334</v>
      </c>
    </row>
    <row r="61" spans="1:7" ht="15.75" customHeight="1">
      <c r="A61" s="3">
        <v>21610</v>
      </c>
      <c r="B61" s="4">
        <v>35</v>
      </c>
      <c r="C61">
        <f t="shared" si="4"/>
        <v>30</v>
      </c>
      <c r="D61">
        <f t="shared" si="0"/>
        <v>5</v>
      </c>
      <c r="E61">
        <f t="shared" si="1"/>
        <v>5</v>
      </c>
      <c r="F61">
        <f t="shared" si="2"/>
        <v>25</v>
      </c>
      <c r="G61" s="22">
        <f t="shared" si="3"/>
        <v>0.14285714285714285</v>
      </c>
    </row>
    <row r="62" spans="1:7" ht="15.75" customHeight="1">
      <c r="A62" s="3">
        <v>21611</v>
      </c>
      <c r="B62" s="4">
        <v>28</v>
      </c>
      <c r="C62">
        <f t="shared" si="4"/>
        <v>35</v>
      </c>
      <c r="D62">
        <f t="shared" si="0"/>
        <v>-7</v>
      </c>
      <c r="E62">
        <f t="shared" si="1"/>
        <v>7</v>
      </c>
      <c r="F62">
        <f t="shared" si="2"/>
        <v>49</v>
      </c>
      <c r="G62" s="22">
        <f t="shared" si="3"/>
        <v>0.25</v>
      </c>
    </row>
    <row r="63" spans="1:7" ht="15.75" customHeight="1">
      <c r="A63" s="3">
        <v>21612</v>
      </c>
      <c r="B63" s="4">
        <v>45</v>
      </c>
      <c r="C63">
        <f t="shared" si="4"/>
        <v>28</v>
      </c>
      <c r="D63">
        <f t="shared" si="0"/>
        <v>17</v>
      </c>
      <c r="E63">
        <f t="shared" si="1"/>
        <v>17</v>
      </c>
      <c r="F63">
        <f t="shared" si="2"/>
        <v>289</v>
      </c>
      <c r="G63" s="22">
        <f t="shared" si="3"/>
        <v>0.37777777777777777</v>
      </c>
    </row>
    <row r="64" spans="1:7" ht="15.75" customHeight="1">
      <c r="A64" s="3">
        <v>21613</v>
      </c>
      <c r="B64" s="4">
        <v>34</v>
      </c>
      <c r="C64">
        <f t="shared" si="4"/>
        <v>45</v>
      </c>
      <c r="D64">
        <f t="shared" si="0"/>
        <v>-11</v>
      </c>
      <c r="E64">
        <f t="shared" si="1"/>
        <v>11</v>
      </c>
      <c r="F64">
        <f t="shared" si="2"/>
        <v>121</v>
      </c>
      <c r="G64" s="22">
        <f t="shared" si="3"/>
        <v>0.3235294117647059</v>
      </c>
    </row>
    <row r="65" spans="1:7" ht="15.75" customHeight="1">
      <c r="A65" s="3">
        <v>21614</v>
      </c>
      <c r="B65" s="4">
        <v>36</v>
      </c>
      <c r="C65">
        <f t="shared" si="4"/>
        <v>34</v>
      </c>
      <c r="D65">
        <f t="shared" si="0"/>
        <v>2</v>
      </c>
      <c r="E65">
        <f t="shared" si="1"/>
        <v>2</v>
      </c>
      <c r="F65">
        <f t="shared" si="2"/>
        <v>4</v>
      </c>
      <c r="G65" s="22">
        <f t="shared" si="3"/>
        <v>5.5555555555555552E-2</v>
      </c>
    </row>
    <row r="66" spans="1:7" ht="15.75" customHeight="1">
      <c r="A66" s="3">
        <v>21615</v>
      </c>
      <c r="B66" s="4">
        <v>50</v>
      </c>
      <c r="C66">
        <f t="shared" si="4"/>
        <v>36</v>
      </c>
      <c r="D66">
        <f t="shared" si="0"/>
        <v>14</v>
      </c>
      <c r="E66">
        <f t="shared" si="1"/>
        <v>14</v>
      </c>
      <c r="F66">
        <f t="shared" si="2"/>
        <v>196</v>
      </c>
      <c r="G66" s="22">
        <f t="shared" si="3"/>
        <v>0.28000000000000003</v>
      </c>
    </row>
    <row r="67" spans="1:7" ht="15.75" customHeight="1">
      <c r="A67" s="3">
        <v>21616</v>
      </c>
      <c r="B67" s="4">
        <v>44</v>
      </c>
      <c r="C67">
        <f t="shared" si="4"/>
        <v>50</v>
      </c>
      <c r="D67">
        <f t="shared" si="0"/>
        <v>-6</v>
      </c>
      <c r="E67">
        <f t="shared" si="1"/>
        <v>6</v>
      </c>
      <c r="F67">
        <f t="shared" si="2"/>
        <v>36</v>
      </c>
      <c r="G67" s="22">
        <f t="shared" si="3"/>
        <v>0.13636363636363635</v>
      </c>
    </row>
    <row r="68" spans="1:7" ht="15.75" customHeight="1">
      <c r="A68" s="3">
        <v>21617</v>
      </c>
      <c r="B68" s="4">
        <v>39</v>
      </c>
      <c r="C68">
        <f t="shared" si="4"/>
        <v>44</v>
      </c>
      <c r="D68">
        <f t="shared" ref="D68:D131" si="5">B68-C68</f>
        <v>-5</v>
      </c>
      <c r="E68">
        <f t="shared" ref="E68:E131" si="6">ABS(D68)</f>
        <v>5</v>
      </c>
      <c r="F68">
        <f t="shared" ref="F68:F131" si="7">E68^2</f>
        <v>25</v>
      </c>
      <c r="G68" s="22">
        <f t="shared" ref="G68:G131" si="8">E68/B68</f>
        <v>0.12820512820512819</v>
      </c>
    </row>
    <row r="69" spans="1:7" ht="15.75" customHeight="1">
      <c r="A69" s="3">
        <v>21618</v>
      </c>
      <c r="B69" s="4">
        <v>32</v>
      </c>
      <c r="C69">
        <f t="shared" ref="C69:C132" si="9">B68</f>
        <v>39</v>
      </c>
      <c r="D69">
        <f t="shared" si="5"/>
        <v>-7</v>
      </c>
      <c r="E69">
        <f t="shared" si="6"/>
        <v>7</v>
      </c>
      <c r="F69">
        <f t="shared" si="7"/>
        <v>49</v>
      </c>
      <c r="G69" s="22">
        <f t="shared" si="8"/>
        <v>0.21875</v>
      </c>
    </row>
    <row r="70" spans="1:7" ht="15.75" customHeight="1">
      <c r="A70" s="3">
        <v>21619</v>
      </c>
      <c r="B70" s="4">
        <v>39</v>
      </c>
      <c r="C70">
        <f t="shared" si="9"/>
        <v>32</v>
      </c>
      <c r="D70">
        <f t="shared" si="5"/>
        <v>7</v>
      </c>
      <c r="E70">
        <f t="shared" si="6"/>
        <v>7</v>
      </c>
      <c r="F70">
        <f t="shared" si="7"/>
        <v>49</v>
      </c>
      <c r="G70" s="22">
        <f t="shared" si="8"/>
        <v>0.17948717948717949</v>
      </c>
    </row>
    <row r="71" spans="1:7" ht="15.75" customHeight="1">
      <c r="A71" s="3">
        <v>21620</v>
      </c>
      <c r="B71" s="4">
        <v>45</v>
      </c>
      <c r="C71">
        <f t="shared" si="9"/>
        <v>39</v>
      </c>
      <c r="D71">
        <f t="shared" si="5"/>
        <v>6</v>
      </c>
      <c r="E71">
        <f t="shared" si="6"/>
        <v>6</v>
      </c>
      <c r="F71">
        <f t="shared" si="7"/>
        <v>36</v>
      </c>
      <c r="G71" s="22">
        <f t="shared" si="8"/>
        <v>0.13333333333333333</v>
      </c>
    </row>
    <row r="72" spans="1:7" ht="15.75" customHeight="1">
      <c r="A72" s="3">
        <v>21621</v>
      </c>
      <c r="B72" s="4">
        <v>43</v>
      </c>
      <c r="C72">
        <f t="shared" si="9"/>
        <v>45</v>
      </c>
      <c r="D72">
        <f t="shared" si="5"/>
        <v>-2</v>
      </c>
      <c r="E72">
        <f t="shared" si="6"/>
        <v>2</v>
      </c>
      <c r="F72">
        <f t="shared" si="7"/>
        <v>4</v>
      </c>
      <c r="G72" s="22">
        <f t="shared" si="8"/>
        <v>4.6511627906976744E-2</v>
      </c>
    </row>
    <row r="73" spans="1:7" ht="15.75" customHeight="1">
      <c r="A73" s="3">
        <v>21622</v>
      </c>
      <c r="B73" s="4">
        <v>39</v>
      </c>
      <c r="C73">
        <f t="shared" si="9"/>
        <v>43</v>
      </c>
      <c r="D73">
        <f t="shared" si="5"/>
        <v>-4</v>
      </c>
      <c r="E73">
        <f t="shared" si="6"/>
        <v>4</v>
      </c>
      <c r="F73">
        <f t="shared" si="7"/>
        <v>16</v>
      </c>
      <c r="G73" s="22">
        <f t="shared" si="8"/>
        <v>0.10256410256410256</v>
      </c>
    </row>
    <row r="74" spans="1:7" ht="15.75" customHeight="1">
      <c r="A74" s="3">
        <v>21623</v>
      </c>
      <c r="B74" s="4">
        <v>31</v>
      </c>
      <c r="C74">
        <f t="shared" si="9"/>
        <v>39</v>
      </c>
      <c r="D74">
        <f t="shared" si="5"/>
        <v>-8</v>
      </c>
      <c r="E74">
        <f t="shared" si="6"/>
        <v>8</v>
      </c>
      <c r="F74">
        <f t="shared" si="7"/>
        <v>64</v>
      </c>
      <c r="G74" s="22">
        <f t="shared" si="8"/>
        <v>0.25806451612903225</v>
      </c>
    </row>
    <row r="75" spans="1:7" ht="15.75" customHeight="1">
      <c r="A75" s="3">
        <v>21624</v>
      </c>
      <c r="B75" s="4">
        <v>27</v>
      </c>
      <c r="C75">
        <f t="shared" si="9"/>
        <v>31</v>
      </c>
      <c r="D75">
        <f t="shared" si="5"/>
        <v>-4</v>
      </c>
      <c r="E75">
        <f t="shared" si="6"/>
        <v>4</v>
      </c>
      <c r="F75">
        <f t="shared" si="7"/>
        <v>16</v>
      </c>
      <c r="G75" s="22">
        <f t="shared" si="8"/>
        <v>0.14814814814814814</v>
      </c>
    </row>
    <row r="76" spans="1:7" ht="15.75" customHeight="1">
      <c r="A76" s="3">
        <v>21625</v>
      </c>
      <c r="B76" s="4">
        <v>30</v>
      </c>
      <c r="C76">
        <f t="shared" si="9"/>
        <v>27</v>
      </c>
      <c r="D76">
        <f t="shared" si="5"/>
        <v>3</v>
      </c>
      <c r="E76">
        <f t="shared" si="6"/>
        <v>3</v>
      </c>
      <c r="F76">
        <f t="shared" si="7"/>
        <v>9</v>
      </c>
      <c r="G76" s="22">
        <f t="shared" si="8"/>
        <v>0.1</v>
      </c>
    </row>
    <row r="77" spans="1:7" ht="15.75" customHeight="1">
      <c r="A77" s="3">
        <v>21626</v>
      </c>
      <c r="B77" s="4">
        <v>42</v>
      </c>
      <c r="C77">
        <f t="shared" si="9"/>
        <v>30</v>
      </c>
      <c r="D77">
        <f t="shared" si="5"/>
        <v>12</v>
      </c>
      <c r="E77">
        <f t="shared" si="6"/>
        <v>12</v>
      </c>
      <c r="F77">
        <f t="shared" si="7"/>
        <v>144</v>
      </c>
      <c r="G77" s="22">
        <f t="shared" si="8"/>
        <v>0.2857142857142857</v>
      </c>
    </row>
    <row r="78" spans="1:7" ht="15.75" customHeight="1">
      <c r="A78" s="3">
        <v>21627</v>
      </c>
      <c r="B78" s="4">
        <v>46</v>
      </c>
      <c r="C78">
        <f t="shared" si="9"/>
        <v>42</v>
      </c>
      <c r="D78">
        <f t="shared" si="5"/>
        <v>4</v>
      </c>
      <c r="E78">
        <f t="shared" si="6"/>
        <v>4</v>
      </c>
      <c r="F78">
        <f t="shared" si="7"/>
        <v>16</v>
      </c>
      <c r="G78" s="22">
        <f t="shared" si="8"/>
        <v>8.6956521739130432E-2</v>
      </c>
    </row>
    <row r="79" spans="1:7" ht="15.75" customHeight="1">
      <c r="A79" s="3">
        <v>21628</v>
      </c>
      <c r="B79" s="4">
        <v>41</v>
      </c>
      <c r="C79">
        <f t="shared" si="9"/>
        <v>46</v>
      </c>
      <c r="D79">
        <f t="shared" si="5"/>
        <v>-5</v>
      </c>
      <c r="E79">
        <f t="shared" si="6"/>
        <v>5</v>
      </c>
      <c r="F79">
        <f t="shared" si="7"/>
        <v>25</v>
      </c>
      <c r="G79" s="22">
        <f t="shared" si="8"/>
        <v>0.12195121951219512</v>
      </c>
    </row>
    <row r="80" spans="1:7" ht="15.75" customHeight="1">
      <c r="A80" s="3">
        <v>21629</v>
      </c>
      <c r="B80" s="4">
        <v>36</v>
      </c>
      <c r="C80">
        <f t="shared" si="9"/>
        <v>41</v>
      </c>
      <c r="D80">
        <f t="shared" si="5"/>
        <v>-5</v>
      </c>
      <c r="E80">
        <f t="shared" si="6"/>
        <v>5</v>
      </c>
      <c r="F80">
        <f t="shared" si="7"/>
        <v>25</v>
      </c>
      <c r="G80" s="22">
        <f t="shared" si="8"/>
        <v>0.1388888888888889</v>
      </c>
    </row>
    <row r="81" spans="1:7" ht="15.75" customHeight="1">
      <c r="A81" s="3">
        <v>21630</v>
      </c>
      <c r="B81" s="4">
        <v>45</v>
      </c>
      <c r="C81">
        <f t="shared" si="9"/>
        <v>36</v>
      </c>
      <c r="D81">
        <f t="shared" si="5"/>
        <v>9</v>
      </c>
      <c r="E81">
        <f t="shared" si="6"/>
        <v>9</v>
      </c>
      <c r="F81">
        <f t="shared" si="7"/>
        <v>81</v>
      </c>
      <c r="G81" s="22">
        <f t="shared" si="8"/>
        <v>0.2</v>
      </c>
    </row>
    <row r="82" spans="1:7" ht="15.75" customHeight="1">
      <c r="A82" s="3">
        <v>21631</v>
      </c>
      <c r="B82" s="4">
        <v>46</v>
      </c>
      <c r="C82">
        <f t="shared" si="9"/>
        <v>45</v>
      </c>
      <c r="D82">
        <f t="shared" si="5"/>
        <v>1</v>
      </c>
      <c r="E82">
        <f t="shared" si="6"/>
        <v>1</v>
      </c>
      <c r="F82">
        <f t="shared" si="7"/>
        <v>1</v>
      </c>
      <c r="G82" s="22">
        <f t="shared" si="8"/>
        <v>2.1739130434782608E-2</v>
      </c>
    </row>
    <row r="83" spans="1:7" ht="15.75" customHeight="1">
      <c r="A83" s="3">
        <v>21632</v>
      </c>
      <c r="B83" s="4">
        <v>43</v>
      </c>
      <c r="C83">
        <f t="shared" si="9"/>
        <v>46</v>
      </c>
      <c r="D83">
        <f t="shared" si="5"/>
        <v>-3</v>
      </c>
      <c r="E83">
        <f t="shared" si="6"/>
        <v>3</v>
      </c>
      <c r="F83">
        <f t="shared" si="7"/>
        <v>9</v>
      </c>
      <c r="G83" s="22">
        <f t="shared" si="8"/>
        <v>6.9767441860465115E-2</v>
      </c>
    </row>
    <row r="84" spans="1:7" ht="15.75" customHeight="1">
      <c r="A84" s="3">
        <v>21633</v>
      </c>
      <c r="B84" s="4">
        <v>38</v>
      </c>
      <c r="C84">
        <f t="shared" si="9"/>
        <v>43</v>
      </c>
      <c r="D84">
        <f t="shared" si="5"/>
        <v>-5</v>
      </c>
      <c r="E84">
        <f t="shared" si="6"/>
        <v>5</v>
      </c>
      <c r="F84">
        <f t="shared" si="7"/>
        <v>25</v>
      </c>
      <c r="G84" s="22">
        <f t="shared" si="8"/>
        <v>0.13157894736842105</v>
      </c>
    </row>
    <row r="85" spans="1:7" ht="15.75" customHeight="1">
      <c r="A85" s="3">
        <v>21634</v>
      </c>
      <c r="B85" s="4">
        <v>34</v>
      </c>
      <c r="C85">
        <f t="shared" si="9"/>
        <v>38</v>
      </c>
      <c r="D85">
        <f t="shared" si="5"/>
        <v>-4</v>
      </c>
      <c r="E85">
        <f t="shared" si="6"/>
        <v>4</v>
      </c>
      <c r="F85">
        <f t="shared" si="7"/>
        <v>16</v>
      </c>
      <c r="G85" s="22">
        <f t="shared" si="8"/>
        <v>0.11764705882352941</v>
      </c>
    </row>
    <row r="86" spans="1:7" ht="15.75" customHeight="1">
      <c r="A86" s="3">
        <v>21635</v>
      </c>
      <c r="B86" s="4">
        <v>35</v>
      </c>
      <c r="C86">
        <f t="shared" si="9"/>
        <v>34</v>
      </c>
      <c r="D86">
        <f t="shared" si="5"/>
        <v>1</v>
      </c>
      <c r="E86">
        <f t="shared" si="6"/>
        <v>1</v>
      </c>
      <c r="F86">
        <f t="shared" si="7"/>
        <v>1</v>
      </c>
      <c r="G86" s="22">
        <f t="shared" si="8"/>
        <v>2.8571428571428571E-2</v>
      </c>
    </row>
    <row r="87" spans="1:7" ht="15.75" customHeight="1">
      <c r="A87" s="3">
        <v>21636</v>
      </c>
      <c r="B87" s="4">
        <v>56</v>
      </c>
      <c r="C87">
        <f t="shared" si="9"/>
        <v>35</v>
      </c>
      <c r="D87">
        <f t="shared" si="5"/>
        <v>21</v>
      </c>
      <c r="E87">
        <f t="shared" si="6"/>
        <v>21</v>
      </c>
      <c r="F87">
        <f t="shared" si="7"/>
        <v>441</v>
      </c>
      <c r="G87" s="22">
        <f t="shared" si="8"/>
        <v>0.375</v>
      </c>
    </row>
    <row r="88" spans="1:7" ht="15.75" customHeight="1">
      <c r="A88" s="3">
        <v>21637</v>
      </c>
      <c r="B88" s="4">
        <v>36</v>
      </c>
      <c r="C88">
        <f t="shared" si="9"/>
        <v>56</v>
      </c>
      <c r="D88">
        <f t="shared" si="5"/>
        <v>-20</v>
      </c>
      <c r="E88">
        <f t="shared" si="6"/>
        <v>20</v>
      </c>
      <c r="F88">
        <f t="shared" si="7"/>
        <v>400</v>
      </c>
      <c r="G88" s="22">
        <f t="shared" si="8"/>
        <v>0.55555555555555558</v>
      </c>
    </row>
    <row r="89" spans="1:7" ht="15.75" customHeight="1">
      <c r="A89" s="3">
        <v>21638</v>
      </c>
      <c r="B89" s="4">
        <v>32</v>
      </c>
      <c r="C89">
        <f t="shared" si="9"/>
        <v>36</v>
      </c>
      <c r="D89">
        <f t="shared" si="5"/>
        <v>-4</v>
      </c>
      <c r="E89">
        <f t="shared" si="6"/>
        <v>4</v>
      </c>
      <c r="F89">
        <f t="shared" si="7"/>
        <v>16</v>
      </c>
      <c r="G89" s="22">
        <f t="shared" si="8"/>
        <v>0.125</v>
      </c>
    </row>
    <row r="90" spans="1:7" ht="15.75" customHeight="1">
      <c r="A90" s="3">
        <v>21639</v>
      </c>
      <c r="B90" s="4">
        <v>50</v>
      </c>
      <c r="C90">
        <f t="shared" si="9"/>
        <v>32</v>
      </c>
      <c r="D90">
        <f t="shared" si="5"/>
        <v>18</v>
      </c>
      <c r="E90">
        <f t="shared" si="6"/>
        <v>18</v>
      </c>
      <c r="F90">
        <f t="shared" si="7"/>
        <v>324</v>
      </c>
      <c r="G90" s="22">
        <f t="shared" si="8"/>
        <v>0.36</v>
      </c>
    </row>
    <row r="91" spans="1:7" ht="15.75" customHeight="1">
      <c r="A91" s="3">
        <v>21640</v>
      </c>
      <c r="B91" s="4">
        <v>41</v>
      </c>
      <c r="C91">
        <f t="shared" si="9"/>
        <v>50</v>
      </c>
      <c r="D91">
        <f t="shared" si="5"/>
        <v>-9</v>
      </c>
      <c r="E91">
        <f t="shared" si="6"/>
        <v>9</v>
      </c>
      <c r="F91">
        <f t="shared" si="7"/>
        <v>81</v>
      </c>
      <c r="G91" s="22">
        <f t="shared" si="8"/>
        <v>0.21951219512195122</v>
      </c>
    </row>
    <row r="92" spans="1:7" ht="15.75" customHeight="1">
      <c r="A92" s="3">
        <v>21641</v>
      </c>
      <c r="B92" s="4">
        <v>39</v>
      </c>
      <c r="C92">
        <f t="shared" si="9"/>
        <v>41</v>
      </c>
      <c r="D92">
        <f t="shared" si="5"/>
        <v>-2</v>
      </c>
      <c r="E92">
        <f t="shared" si="6"/>
        <v>2</v>
      </c>
      <c r="F92">
        <f t="shared" si="7"/>
        <v>4</v>
      </c>
      <c r="G92" s="22">
        <f t="shared" si="8"/>
        <v>5.128205128205128E-2</v>
      </c>
    </row>
    <row r="93" spans="1:7" ht="15.75" customHeight="1">
      <c r="A93" s="3">
        <v>21642</v>
      </c>
      <c r="B93" s="4">
        <v>41</v>
      </c>
      <c r="C93">
        <f t="shared" si="9"/>
        <v>39</v>
      </c>
      <c r="D93">
        <f t="shared" si="5"/>
        <v>2</v>
      </c>
      <c r="E93">
        <f t="shared" si="6"/>
        <v>2</v>
      </c>
      <c r="F93">
        <f t="shared" si="7"/>
        <v>4</v>
      </c>
      <c r="G93" s="22">
        <f t="shared" si="8"/>
        <v>4.878048780487805E-2</v>
      </c>
    </row>
    <row r="94" spans="1:7" ht="15.75" customHeight="1">
      <c r="A94" s="3">
        <v>21643</v>
      </c>
      <c r="B94" s="4">
        <v>47</v>
      </c>
      <c r="C94">
        <f t="shared" si="9"/>
        <v>41</v>
      </c>
      <c r="D94">
        <f t="shared" si="5"/>
        <v>6</v>
      </c>
      <c r="E94">
        <f t="shared" si="6"/>
        <v>6</v>
      </c>
      <c r="F94">
        <f t="shared" si="7"/>
        <v>36</v>
      </c>
      <c r="G94" s="22">
        <f t="shared" si="8"/>
        <v>0.1276595744680851</v>
      </c>
    </row>
    <row r="95" spans="1:7" ht="15.75" customHeight="1">
      <c r="A95" s="3">
        <v>21644</v>
      </c>
      <c r="B95" s="4">
        <v>34</v>
      </c>
      <c r="C95">
        <f t="shared" si="9"/>
        <v>47</v>
      </c>
      <c r="D95">
        <f t="shared" si="5"/>
        <v>-13</v>
      </c>
      <c r="E95">
        <f t="shared" si="6"/>
        <v>13</v>
      </c>
      <c r="F95">
        <f t="shared" si="7"/>
        <v>169</v>
      </c>
      <c r="G95" s="22">
        <f t="shared" si="8"/>
        <v>0.38235294117647056</v>
      </c>
    </row>
    <row r="96" spans="1:7" ht="15.75" customHeight="1">
      <c r="A96" s="3">
        <v>21645</v>
      </c>
      <c r="B96" s="4">
        <v>36</v>
      </c>
      <c r="C96">
        <f t="shared" si="9"/>
        <v>34</v>
      </c>
      <c r="D96">
        <f t="shared" si="5"/>
        <v>2</v>
      </c>
      <c r="E96">
        <f t="shared" si="6"/>
        <v>2</v>
      </c>
      <c r="F96">
        <f t="shared" si="7"/>
        <v>4</v>
      </c>
      <c r="G96" s="22">
        <f t="shared" si="8"/>
        <v>5.5555555555555552E-2</v>
      </c>
    </row>
    <row r="97" spans="1:7" ht="15.75" customHeight="1">
      <c r="A97" s="3">
        <v>21646</v>
      </c>
      <c r="B97" s="4">
        <v>33</v>
      </c>
      <c r="C97">
        <f t="shared" si="9"/>
        <v>36</v>
      </c>
      <c r="D97">
        <f t="shared" si="5"/>
        <v>-3</v>
      </c>
      <c r="E97">
        <f t="shared" si="6"/>
        <v>3</v>
      </c>
      <c r="F97">
        <f t="shared" si="7"/>
        <v>9</v>
      </c>
      <c r="G97" s="22">
        <f t="shared" si="8"/>
        <v>9.0909090909090912E-2</v>
      </c>
    </row>
    <row r="98" spans="1:7" ht="15.75" customHeight="1">
      <c r="A98" s="3">
        <v>21647</v>
      </c>
      <c r="B98" s="4">
        <v>35</v>
      </c>
      <c r="C98">
        <f t="shared" si="9"/>
        <v>33</v>
      </c>
      <c r="D98">
        <f t="shared" si="5"/>
        <v>2</v>
      </c>
      <c r="E98">
        <f t="shared" si="6"/>
        <v>2</v>
      </c>
      <c r="F98">
        <f t="shared" si="7"/>
        <v>4</v>
      </c>
      <c r="G98" s="22">
        <f t="shared" si="8"/>
        <v>5.7142857142857141E-2</v>
      </c>
    </row>
    <row r="99" spans="1:7" ht="15.75" customHeight="1">
      <c r="A99" s="3">
        <v>21648</v>
      </c>
      <c r="B99" s="4">
        <v>38</v>
      </c>
      <c r="C99">
        <f t="shared" si="9"/>
        <v>35</v>
      </c>
      <c r="D99">
        <f t="shared" si="5"/>
        <v>3</v>
      </c>
      <c r="E99">
        <f t="shared" si="6"/>
        <v>3</v>
      </c>
      <c r="F99">
        <f t="shared" si="7"/>
        <v>9</v>
      </c>
      <c r="G99" s="22">
        <f t="shared" si="8"/>
        <v>7.8947368421052627E-2</v>
      </c>
    </row>
    <row r="100" spans="1:7" ht="15.75" customHeight="1">
      <c r="A100" s="3">
        <v>21649</v>
      </c>
      <c r="B100" s="4">
        <v>38</v>
      </c>
      <c r="C100">
        <f t="shared" si="9"/>
        <v>38</v>
      </c>
      <c r="D100">
        <f t="shared" si="5"/>
        <v>0</v>
      </c>
      <c r="E100">
        <f t="shared" si="6"/>
        <v>0</v>
      </c>
      <c r="F100">
        <f t="shared" si="7"/>
        <v>0</v>
      </c>
      <c r="G100" s="22">
        <f t="shared" si="8"/>
        <v>0</v>
      </c>
    </row>
    <row r="101" spans="1:7" ht="15.75" customHeight="1">
      <c r="A101" s="3">
        <v>21650</v>
      </c>
      <c r="B101" s="4">
        <v>34</v>
      </c>
      <c r="C101">
        <f t="shared" si="9"/>
        <v>38</v>
      </c>
      <c r="D101">
        <f t="shared" si="5"/>
        <v>-4</v>
      </c>
      <c r="E101">
        <f t="shared" si="6"/>
        <v>4</v>
      </c>
      <c r="F101">
        <f t="shared" si="7"/>
        <v>16</v>
      </c>
      <c r="G101" s="22">
        <f t="shared" si="8"/>
        <v>0.11764705882352941</v>
      </c>
    </row>
    <row r="102" spans="1:7" ht="15.75" customHeight="1">
      <c r="A102" s="3">
        <v>21651</v>
      </c>
      <c r="B102" s="4">
        <v>53</v>
      </c>
      <c r="C102">
        <f t="shared" si="9"/>
        <v>34</v>
      </c>
      <c r="D102">
        <f t="shared" si="5"/>
        <v>19</v>
      </c>
      <c r="E102">
        <f t="shared" si="6"/>
        <v>19</v>
      </c>
      <c r="F102">
        <f t="shared" si="7"/>
        <v>361</v>
      </c>
      <c r="G102" s="22">
        <f t="shared" si="8"/>
        <v>0.35849056603773582</v>
      </c>
    </row>
    <row r="103" spans="1:7" ht="15.75" customHeight="1">
      <c r="A103" s="3">
        <v>21652</v>
      </c>
      <c r="B103" s="4">
        <v>34</v>
      </c>
      <c r="C103">
        <f t="shared" si="9"/>
        <v>53</v>
      </c>
      <c r="D103">
        <f t="shared" si="5"/>
        <v>-19</v>
      </c>
      <c r="E103">
        <f t="shared" si="6"/>
        <v>19</v>
      </c>
      <c r="F103">
        <f t="shared" si="7"/>
        <v>361</v>
      </c>
      <c r="G103" s="22">
        <f t="shared" si="8"/>
        <v>0.55882352941176472</v>
      </c>
    </row>
    <row r="104" spans="1:7" ht="15.75" customHeight="1">
      <c r="A104" s="3">
        <v>21653</v>
      </c>
      <c r="B104" s="4">
        <v>34</v>
      </c>
      <c r="C104">
        <f t="shared" si="9"/>
        <v>34</v>
      </c>
      <c r="D104">
        <f t="shared" si="5"/>
        <v>0</v>
      </c>
      <c r="E104">
        <f t="shared" si="6"/>
        <v>0</v>
      </c>
      <c r="F104">
        <f t="shared" si="7"/>
        <v>0</v>
      </c>
      <c r="G104" s="22">
        <f t="shared" si="8"/>
        <v>0</v>
      </c>
    </row>
    <row r="105" spans="1:7" ht="15.75" customHeight="1">
      <c r="A105" s="3">
        <v>21654</v>
      </c>
      <c r="B105" s="4">
        <v>38</v>
      </c>
      <c r="C105">
        <f t="shared" si="9"/>
        <v>34</v>
      </c>
      <c r="D105">
        <f t="shared" si="5"/>
        <v>4</v>
      </c>
      <c r="E105">
        <f t="shared" si="6"/>
        <v>4</v>
      </c>
      <c r="F105">
        <f t="shared" si="7"/>
        <v>16</v>
      </c>
      <c r="G105" s="22">
        <f t="shared" si="8"/>
        <v>0.10526315789473684</v>
      </c>
    </row>
    <row r="106" spans="1:7" ht="15.75" customHeight="1">
      <c r="A106" s="3">
        <v>21655</v>
      </c>
      <c r="B106" s="4">
        <v>35</v>
      </c>
      <c r="C106">
        <f t="shared" si="9"/>
        <v>38</v>
      </c>
      <c r="D106">
        <f t="shared" si="5"/>
        <v>-3</v>
      </c>
      <c r="E106">
        <f t="shared" si="6"/>
        <v>3</v>
      </c>
      <c r="F106">
        <f t="shared" si="7"/>
        <v>9</v>
      </c>
      <c r="G106" s="22">
        <f t="shared" si="8"/>
        <v>8.5714285714285715E-2</v>
      </c>
    </row>
    <row r="107" spans="1:7" ht="15.75" customHeight="1">
      <c r="A107" s="3">
        <v>21656</v>
      </c>
      <c r="B107" s="4">
        <v>32</v>
      </c>
      <c r="C107">
        <f t="shared" si="9"/>
        <v>35</v>
      </c>
      <c r="D107">
        <f t="shared" si="5"/>
        <v>-3</v>
      </c>
      <c r="E107">
        <f t="shared" si="6"/>
        <v>3</v>
      </c>
      <c r="F107">
        <f t="shared" si="7"/>
        <v>9</v>
      </c>
      <c r="G107" s="22">
        <f t="shared" si="8"/>
        <v>9.375E-2</v>
      </c>
    </row>
    <row r="108" spans="1:7" ht="15.75" customHeight="1">
      <c r="A108" s="3">
        <v>21657</v>
      </c>
      <c r="B108" s="4">
        <v>42</v>
      </c>
      <c r="C108">
        <f t="shared" si="9"/>
        <v>32</v>
      </c>
      <c r="D108">
        <f t="shared" si="5"/>
        <v>10</v>
      </c>
      <c r="E108">
        <f t="shared" si="6"/>
        <v>10</v>
      </c>
      <c r="F108">
        <f t="shared" si="7"/>
        <v>100</v>
      </c>
      <c r="G108" s="22">
        <f t="shared" si="8"/>
        <v>0.23809523809523808</v>
      </c>
    </row>
    <row r="109" spans="1:7" ht="15.75" customHeight="1">
      <c r="A109" s="3">
        <v>21658</v>
      </c>
      <c r="B109" s="4">
        <v>34</v>
      </c>
      <c r="C109">
        <f t="shared" si="9"/>
        <v>42</v>
      </c>
      <c r="D109">
        <f t="shared" si="5"/>
        <v>-8</v>
      </c>
      <c r="E109">
        <f t="shared" si="6"/>
        <v>8</v>
      </c>
      <c r="F109">
        <f t="shared" si="7"/>
        <v>64</v>
      </c>
      <c r="G109" s="22">
        <f t="shared" si="8"/>
        <v>0.23529411764705882</v>
      </c>
    </row>
    <row r="110" spans="1:7" ht="15.75" customHeight="1">
      <c r="A110" s="3">
        <v>21659</v>
      </c>
      <c r="B110" s="4">
        <v>46</v>
      </c>
      <c r="C110">
        <f t="shared" si="9"/>
        <v>34</v>
      </c>
      <c r="D110">
        <f t="shared" si="5"/>
        <v>12</v>
      </c>
      <c r="E110">
        <f t="shared" si="6"/>
        <v>12</v>
      </c>
      <c r="F110">
        <f t="shared" si="7"/>
        <v>144</v>
      </c>
      <c r="G110" s="22">
        <f t="shared" si="8"/>
        <v>0.2608695652173913</v>
      </c>
    </row>
    <row r="111" spans="1:7" ht="15.75" customHeight="1">
      <c r="A111" s="3">
        <v>21660</v>
      </c>
      <c r="B111" s="4">
        <v>30</v>
      </c>
      <c r="C111">
        <f t="shared" si="9"/>
        <v>46</v>
      </c>
      <c r="D111">
        <f t="shared" si="5"/>
        <v>-16</v>
      </c>
      <c r="E111">
        <f t="shared" si="6"/>
        <v>16</v>
      </c>
      <c r="F111">
        <f t="shared" si="7"/>
        <v>256</v>
      </c>
      <c r="G111" s="22">
        <f t="shared" si="8"/>
        <v>0.53333333333333333</v>
      </c>
    </row>
    <row r="112" spans="1:7" ht="15.75" customHeight="1">
      <c r="A112" s="3">
        <v>21661</v>
      </c>
      <c r="B112" s="4">
        <v>46</v>
      </c>
      <c r="C112">
        <f t="shared" si="9"/>
        <v>30</v>
      </c>
      <c r="D112">
        <f t="shared" si="5"/>
        <v>16</v>
      </c>
      <c r="E112">
        <f t="shared" si="6"/>
        <v>16</v>
      </c>
      <c r="F112">
        <f t="shared" si="7"/>
        <v>256</v>
      </c>
      <c r="G112" s="22">
        <f t="shared" si="8"/>
        <v>0.34782608695652173</v>
      </c>
    </row>
    <row r="113" spans="1:7" ht="15.75" customHeight="1">
      <c r="A113" s="3">
        <v>21662</v>
      </c>
      <c r="B113" s="4">
        <v>45</v>
      </c>
      <c r="C113">
        <f t="shared" si="9"/>
        <v>46</v>
      </c>
      <c r="D113">
        <f t="shared" si="5"/>
        <v>-1</v>
      </c>
      <c r="E113">
        <f t="shared" si="6"/>
        <v>1</v>
      </c>
      <c r="F113">
        <f t="shared" si="7"/>
        <v>1</v>
      </c>
      <c r="G113" s="22">
        <f t="shared" si="8"/>
        <v>2.2222222222222223E-2</v>
      </c>
    </row>
    <row r="114" spans="1:7" ht="15.75" customHeight="1">
      <c r="A114" s="3">
        <v>21663</v>
      </c>
      <c r="B114" s="4">
        <v>54</v>
      </c>
      <c r="C114">
        <f t="shared" si="9"/>
        <v>45</v>
      </c>
      <c r="D114">
        <f t="shared" si="5"/>
        <v>9</v>
      </c>
      <c r="E114">
        <f t="shared" si="6"/>
        <v>9</v>
      </c>
      <c r="F114">
        <f t="shared" si="7"/>
        <v>81</v>
      </c>
      <c r="G114" s="22">
        <f t="shared" si="8"/>
        <v>0.16666666666666666</v>
      </c>
    </row>
    <row r="115" spans="1:7" ht="15.75" customHeight="1">
      <c r="A115" s="3">
        <v>21664</v>
      </c>
      <c r="B115" s="4">
        <v>34</v>
      </c>
      <c r="C115">
        <f t="shared" si="9"/>
        <v>54</v>
      </c>
      <c r="D115">
        <f t="shared" si="5"/>
        <v>-20</v>
      </c>
      <c r="E115">
        <f t="shared" si="6"/>
        <v>20</v>
      </c>
      <c r="F115">
        <f t="shared" si="7"/>
        <v>400</v>
      </c>
      <c r="G115" s="22">
        <f t="shared" si="8"/>
        <v>0.58823529411764708</v>
      </c>
    </row>
    <row r="116" spans="1:7" ht="15.75" customHeight="1">
      <c r="A116" s="3">
        <v>21665</v>
      </c>
      <c r="B116" s="4">
        <v>37</v>
      </c>
      <c r="C116">
        <f t="shared" si="9"/>
        <v>34</v>
      </c>
      <c r="D116">
        <f t="shared" si="5"/>
        <v>3</v>
      </c>
      <c r="E116">
        <f t="shared" si="6"/>
        <v>3</v>
      </c>
      <c r="F116">
        <f t="shared" si="7"/>
        <v>9</v>
      </c>
      <c r="G116" s="22">
        <f t="shared" si="8"/>
        <v>8.1081081081081086E-2</v>
      </c>
    </row>
    <row r="117" spans="1:7" ht="15.75" customHeight="1">
      <c r="A117" s="3">
        <v>21666</v>
      </c>
      <c r="B117" s="4">
        <v>35</v>
      </c>
      <c r="C117">
        <f t="shared" si="9"/>
        <v>37</v>
      </c>
      <c r="D117">
        <f t="shared" si="5"/>
        <v>-2</v>
      </c>
      <c r="E117">
        <f t="shared" si="6"/>
        <v>2</v>
      </c>
      <c r="F117">
        <f t="shared" si="7"/>
        <v>4</v>
      </c>
      <c r="G117" s="22">
        <f t="shared" si="8"/>
        <v>5.7142857142857141E-2</v>
      </c>
    </row>
    <row r="118" spans="1:7" ht="15.75" customHeight="1">
      <c r="A118" s="3">
        <v>21667</v>
      </c>
      <c r="B118" s="4">
        <v>40</v>
      </c>
      <c r="C118">
        <f t="shared" si="9"/>
        <v>35</v>
      </c>
      <c r="D118">
        <f t="shared" si="5"/>
        <v>5</v>
      </c>
      <c r="E118">
        <f t="shared" si="6"/>
        <v>5</v>
      </c>
      <c r="F118">
        <f t="shared" si="7"/>
        <v>25</v>
      </c>
      <c r="G118" s="22">
        <f t="shared" si="8"/>
        <v>0.125</v>
      </c>
    </row>
    <row r="119" spans="1:7" ht="15.75" customHeight="1">
      <c r="A119" s="3">
        <v>21668</v>
      </c>
      <c r="B119" s="4">
        <v>42</v>
      </c>
      <c r="C119">
        <f t="shared" si="9"/>
        <v>40</v>
      </c>
      <c r="D119">
        <f t="shared" si="5"/>
        <v>2</v>
      </c>
      <c r="E119">
        <f t="shared" si="6"/>
        <v>2</v>
      </c>
      <c r="F119">
        <f t="shared" si="7"/>
        <v>4</v>
      </c>
      <c r="G119" s="22">
        <f t="shared" si="8"/>
        <v>4.7619047619047616E-2</v>
      </c>
    </row>
    <row r="120" spans="1:7" ht="15.75" customHeight="1">
      <c r="A120" s="3">
        <v>21669</v>
      </c>
      <c r="B120" s="4">
        <v>58</v>
      </c>
      <c r="C120">
        <f t="shared" si="9"/>
        <v>42</v>
      </c>
      <c r="D120">
        <f t="shared" si="5"/>
        <v>16</v>
      </c>
      <c r="E120">
        <f t="shared" si="6"/>
        <v>16</v>
      </c>
      <c r="F120">
        <f t="shared" si="7"/>
        <v>256</v>
      </c>
      <c r="G120" s="22">
        <f t="shared" si="8"/>
        <v>0.27586206896551724</v>
      </c>
    </row>
    <row r="121" spans="1:7" ht="15.75" customHeight="1">
      <c r="A121" s="3">
        <v>21670</v>
      </c>
      <c r="B121" s="4">
        <v>51</v>
      </c>
      <c r="C121">
        <f t="shared" si="9"/>
        <v>58</v>
      </c>
      <c r="D121">
        <f t="shared" si="5"/>
        <v>-7</v>
      </c>
      <c r="E121">
        <f t="shared" si="6"/>
        <v>7</v>
      </c>
      <c r="F121">
        <f t="shared" si="7"/>
        <v>49</v>
      </c>
      <c r="G121" s="22">
        <f t="shared" si="8"/>
        <v>0.13725490196078433</v>
      </c>
    </row>
    <row r="122" spans="1:7" ht="15.75" customHeight="1">
      <c r="A122" s="3">
        <v>21671</v>
      </c>
      <c r="B122" s="4">
        <v>32</v>
      </c>
      <c r="C122">
        <f t="shared" si="9"/>
        <v>51</v>
      </c>
      <c r="D122">
        <f t="shared" si="5"/>
        <v>-19</v>
      </c>
      <c r="E122">
        <f t="shared" si="6"/>
        <v>19</v>
      </c>
      <c r="F122">
        <f t="shared" si="7"/>
        <v>361</v>
      </c>
      <c r="G122" s="22">
        <f t="shared" si="8"/>
        <v>0.59375</v>
      </c>
    </row>
    <row r="123" spans="1:7" ht="15.75" customHeight="1">
      <c r="A123" s="3">
        <v>21672</v>
      </c>
      <c r="B123" s="4">
        <v>35</v>
      </c>
      <c r="C123">
        <f t="shared" si="9"/>
        <v>32</v>
      </c>
      <c r="D123">
        <f t="shared" si="5"/>
        <v>3</v>
      </c>
      <c r="E123">
        <f t="shared" si="6"/>
        <v>3</v>
      </c>
      <c r="F123">
        <f t="shared" si="7"/>
        <v>9</v>
      </c>
      <c r="G123" s="22">
        <f t="shared" si="8"/>
        <v>8.5714285714285715E-2</v>
      </c>
    </row>
    <row r="124" spans="1:7" ht="15.75" customHeight="1">
      <c r="A124" s="3">
        <v>21673</v>
      </c>
      <c r="B124" s="4">
        <v>38</v>
      </c>
      <c r="C124">
        <f t="shared" si="9"/>
        <v>35</v>
      </c>
      <c r="D124">
        <f t="shared" si="5"/>
        <v>3</v>
      </c>
      <c r="E124">
        <f t="shared" si="6"/>
        <v>3</v>
      </c>
      <c r="F124">
        <f t="shared" si="7"/>
        <v>9</v>
      </c>
      <c r="G124" s="22">
        <f t="shared" si="8"/>
        <v>7.8947368421052627E-2</v>
      </c>
    </row>
    <row r="125" spans="1:7" ht="15.75" customHeight="1">
      <c r="A125" s="3">
        <v>21674</v>
      </c>
      <c r="B125" s="4">
        <v>33</v>
      </c>
      <c r="C125">
        <f t="shared" si="9"/>
        <v>38</v>
      </c>
      <c r="D125">
        <f t="shared" si="5"/>
        <v>-5</v>
      </c>
      <c r="E125">
        <f t="shared" si="6"/>
        <v>5</v>
      </c>
      <c r="F125">
        <f t="shared" si="7"/>
        <v>25</v>
      </c>
      <c r="G125" s="22">
        <f t="shared" si="8"/>
        <v>0.15151515151515152</v>
      </c>
    </row>
    <row r="126" spans="1:7" ht="15.75" customHeight="1">
      <c r="A126" s="3">
        <v>21675</v>
      </c>
      <c r="B126" s="4">
        <v>39</v>
      </c>
      <c r="C126">
        <f t="shared" si="9"/>
        <v>33</v>
      </c>
      <c r="D126">
        <f t="shared" si="5"/>
        <v>6</v>
      </c>
      <c r="E126">
        <f t="shared" si="6"/>
        <v>6</v>
      </c>
      <c r="F126">
        <f t="shared" si="7"/>
        <v>36</v>
      </c>
      <c r="G126" s="22">
        <f t="shared" si="8"/>
        <v>0.15384615384615385</v>
      </c>
    </row>
    <row r="127" spans="1:7" ht="15.75" customHeight="1">
      <c r="A127" s="3">
        <v>21676</v>
      </c>
      <c r="B127" s="4">
        <v>47</v>
      </c>
      <c r="C127">
        <f t="shared" si="9"/>
        <v>39</v>
      </c>
      <c r="D127">
        <f t="shared" si="5"/>
        <v>8</v>
      </c>
      <c r="E127">
        <f t="shared" si="6"/>
        <v>8</v>
      </c>
      <c r="F127">
        <f t="shared" si="7"/>
        <v>64</v>
      </c>
      <c r="G127" s="22">
        <f t="shared" si="8"/>
        <v>0.1702127659574468</v>
      </c>
    </row>
    <row r="128" spans="1:7" ht="15.75" customHeight="1">
      <c r="A128" s="3">
        <v>21677</v>
      </c>
      <c r="B128" s="4">
        <v>38</v>
      </c>
      <c r="C128">
        <f t="shared" si="9"/>
        <v>47</v>
      </c>
      <c r="D128">
        <f t="shared" si="5"/>
        <v>-9</v>
      </c>
      <c r="E128">
        <f t="shared" si="6"/>
        <v>9</v>
      </c>
      <c r="F128">
        <f t="shared" si="7"/>
        <v>81</v>
      </c>
      <c r="G128" s="22">
        <f t="shared" si="8"/>
        <v>0.23684210526315788</v>
      </c>
    </row>
    <row r="129" spans="1:7" ht="15.75" customHeight="1">
      <c r="A129" s="3">
        <v>21678</v>
      </c>
      <c r="B129" s="4">
        <v>52</v>
      </c>
      <c r="C129">
        <f t="shared" si="9"/>
        <v>38</v>
      </c>
      <c r="D129">
        <f t="shared" si="5"/>
        <v>14</v>
      </c>
      <c r="E129">
        <f t="shared" si="6"/>
        <v>14</v>
      </c>
      <c r="F129">
        <f t="shared" si="7"/>
        <v>196</v>
      </c>
      <c r="G129" s="22">
        <f t="shared" si="8"/>
        <v>0.26923076923076922</v>
      </c>
    </row>
    <row r="130" spans="1:7" ht="15.75" customHeight="1">
      <c r="A130" s="3">
        <v>21679</v>
      </c>
      <c r="B130" s="4">
        <v>30</v>
      </c>
      <c r="C130">
        <f t="shared" si="9"/>
        <v>52</v>
      </c>
      <c r="D130">
        <f t="shared" si="5"/>
        <v>-22</v>
      </c>
      <c r="E130">
        <f t="shared" si="6"/>
        <v>22</v>
      </c>
      <c r="F130">
        <f t="shared" si="7"/>
        <v>484</v>
      </c>
      <c r="G130" s="22">
        <f t="shared" si="8"/>
        <v>0.73333333333333328</v>
      </c>
    </row>
    <row r="131" spans="1:7" ht="15.75" customHeight="1">
      <c r="A131" s="3">
        <v>21680</v>
      </c>
      <c r="B131" s="4">
        <v>34</v>
      </c>
      <c r="C131">
        <f t="shared" si="9"/>
        <v>30</v>
      </c>
      <c r="D131">
        <f t="shared" si="5"/>
        <v>4</v>
      </c>
      <c r="E131">
        <f t="shared" si="6"/>
        <v>4</v>
      </c>
      <c r="F131">
        <f t="shared" si="7"/>
        <v>16</v>
      </c>
      <c r="G131" s="22">
        <f t="shared" si="8"/>
        <v>0.11764705882352941</v>
      </c>
    </row>
    <row r="132" spans="1:7" ht="15.75" customHeight="1">
      <c r="A132" s="3">
        <v>21681</v>
      </c>
      <c r="B132" s="4">
        <v>40</v>
      </c>
      <c r="C132">
        <f t="shared" si="9"/>
        <v>34</v>
      </c>
      <c r="D132">
        <f t="shared" ref="D132:D195" si="10">B132-C132</f>
        <v>6</v>
      </c>
      <c r="E132">
        <f t="shared" ref="E132:E195" si="11">ABS(D132)</f>
        <v>6</v>
      </c>
      <c r="F132">
        <f t="shared" ref="F132:F195" si="12">E132^2</f>
        <v>36</v>
      </c>
      <c r="G132" s="22">
        <f t="shared" ref="G132:G195" si="13">E132/B132</f>
        <v>0.15</v>
      </c>
    </row>
    <row r="133" spans="1:7" ht="15.75" customHeight="1">
      <c r="A133" s="3">
        <v>21682</v>
      </c>
      <c r="B133" s="4">
        <v>35</v>
      </c>
      <c r="C133">
        <f t="shared" ref="C133:C196" si="14">B132</f>
        <v>40</v>
      </c>
      <c r="D133">
        <f t="shared" si="10"/>
        <v>-5</v>
      </c>
      <c r="E133">
        <f t="shared" si="11"/>
        <v>5</v>
      </c>
      <c r="F133">
        <f t="shared" si="12"/>
        <v>25</v>
      </c>
      <c r="G133" s="22">
        <f t="shared" si="13"/>
        <v>0.14285714285714285</v>
      </c>
    </row>
    <row r="134" spans="1:7" ht="15.75" customHeight="1">
      <c r="A134" s="3">
        <v>21683</v>
      </c>
      <c r="B134" s="4">
        <v>42</v>
      </c>
      <c r="C134">
        <f t="shared" si="14"/>
        <v>35</v>
      </c>
      <c r="D134">
        <f t="shared" si="10"/>
        <v>7</v>
      </c>
      <c r="E134">
        <f t="shared" si="11"/>
        <v>7</v>
      </c>
      <c r="F134">
        <f t="shared" si="12"/>
        <v>49</v>
      </c>
      <c r="G134" s="22">
        <f t="shared" si="13"/>
        <v>0.16666666666666666</v>
      </c>
    </row>
    <row r="135" spans="1:7" ht="15.75" customHeight="1">
      <c r="A135" s="3">
        <v>21684</v>
      </c>
      <c r="B135" s="4">
        <v>41</v>
      </c>
      <c r="C135">
        <f t="shared" si="14"/>
        <v>42</v>
      </c>
      <c r="D135">
        <f t="shared" si="10"/>
        <v>-1</v>
      </c>
      <c r="E135">
        <f t="shared" si="11"/>
        <v>1</v>
      </c>
      <c r="F135">
        <f t="shared" si="12"/>
        <v>1</v>
      </c>
      <c r="G135" s="22">
        <f t="shared" si="13"/>
        <v>2.4390243902439025E-2</v>
      </c>
    </row>
    <row r="136" spans="1:7" ht="15.75" customHeight="1">
      <c r="A136" s="3">
        <v>21685</v>
      </c>
      <c r="B136" s="4">
        <v>42</v>
      </c>
      <c r="C136">
        <f t="shared" si="14"/>
        <v>41</v>
      </c>
      <c r="D136">
        <f t="shared" si="10"/>
        <v>1</v>
      </c>
      <c r="E136">
        <f t="shared" si="11"/>
        <v>1</v>
      </c>
      <c r="F136">
        <f t="shared" si="12"/>
        <v>1</v>
      </c>
      <c r="G136" s="22">
        <f t="shared" si="13"/>
        <v>2.3809523809523808E-2</v>
      </c>
    </row>
    <row r="137" spans="1:7" ht="15.75" customHeight="1">
      <c r="A137" s="3">
        <v>21686</v>
      </c>
      <c r="B137" s="4">
        <v>38</v>
      </c>
      <c r="C137">
        <f t="shared" si="14"/>
        <v>42</v>
      </c>
      <c r="D137">
        <f t="shared" si="10"/>
        <v>-4</v>
      </c>
      <c r="E137">
        <f t="shared" si="11"/>
        <v>4</v>
      </c>
      <c r="F137">
        <f t="shared" si="12"/>
        <v>16</v>
      </c>
      <c r="G137" s="22">
        <f t="shared" si="13"/>
        <v>0.10526315789473684</v>
      </c>
    </row>
    <row r="138" spans="1:7" ht="15.75" customHeight="1">
      <c r="A138" s="3">
        <v>21687</v>
      </c>
      <c r="B138" s="4">
        <v>24</v>
      </c>
      <c r="C138">
        <f t="shared" si="14"/>
        <v>38</v>
      </c>
      <c r="D138">
        <f t="shared" si="10"/>
        <v>-14</v>
      </c>
      <c r="E138">
        <f t="shared" si="11"/>
        <v>14</v>
      </c>
      <c r="F138">
        <f t="shared" si="12"/>
        <v>196</v>
      </c>
      <c r="G138" s="22">
        <f t="shared" si="13"/>
        <v>0.58333333333333337</v>
      </c>
    </row>
    <row r="139" spans="1:7" ht="15.75" customHeight="1">
      <c r="A139" s="3">
        <v>21688</v>
      </c>
      <c r="B139" s="4">
        <v>34</v>
      </c>
      <c r="C139">
        <f t="shared" si="14"/>
        <v>24</v>
      </c>
      <c r="D139">
        <f t="shared" si="10"/>
        <v>10</v>
      </c>
      <c r="E139">
        <f t="shared" si="11"/>
        <v>10</v>
      </c>
      <c r="F139">
        <f t="shared" si="12"/>
        <v>100</v>
      </c>
      <c r="G139" s="22">
        <f t="shared" si="13"/>
        <v>0.29411764705882354</v>
      </c>
    </row>
    <row r="140" spans="1:7" ht="15.75" customHeight="1">
      <c r="A140" s="3">
        <v>21689</v>
      </c>
      <c r="B140" s="4">
        <v>43</v>
      </c>
      <c r="C140">
        <f t="shared" si="14"/>
        <v>34</v>
      </c>
      <c r="D140">
        <f t="shared" si="10"/>
        <v>9</v>
      </c>
      <c r="E140">
        <f t="shared" si="11"/>
        <v>9</v>
      </c>
      <c r="F140">
        <f t="shared" si="12"/>
        <v>81</v>
      </c>
      <c r="G140" s="22">
        <f t="shared" si="13"/>
        <v>0.20930232558139536</v>
      </c>
    </row>
    <row r="141" spans="1:7" ht="15.75" customHeight="1">
      <c r="A141" s="3">
        <v>21690</v>
      </c>
      <c r="B141" s="4">
        <v>36</v>
      </c>
      <c r="C141">
        <f t="shared" si="14"/>
        <v>43</v>
      </c>
      <c r="D141">
        <f t="shared" si="10"/>
        <v>-7</v>
      </c>
      <c r="E141">
        <f t="shared" si="11"/>
        <v>7</v>
      </c>
      <c r="F141">
        <f t="shared" si="12"/>
        <v>49</v>
      </c>
      <c r="G141" s="22">
        <f t="shared" si="13"/>
        <v>0.19444444444444445</v>
      </c>
    </row>
    <row r="142" spans="1:7" ht="15.75" customHeight="1">
      <c r="A142" s="3">
        <v>21691</v>
      </c>
      <c r="B142" s="4">
        <v>55</v>
      </c>
      <c r="C142">
        <f t="shared" si="14"/>
        <v>36</v>
      </c>
      <c r="D142">
        <f t="shared" si="10"/>
        <v>19</v>
      </c>
      <c r="E142">
        <f t="shared" si="11"/>
        <v>19</v>
      </c>
      <c r="F142">
        <f t="shared" si="12"/>
        <v>361</v>
      </c>
      <c r="G142" s="22">
        <f t="shared" si="13"/>
        <v>0.34545454545454546</v>
      </c>
    </row>
    <row r="143" spans="1:7" ht="15.75" customHeight="1">
      <c r="A143" s="3">
        <v>21692</v>
      </c>
      <c r="B143" s="4">
        <v>41</v>
      </c>
      <c r="C143">
        <f t="shared" si="14"/>
        <v>55</v>
      </c>
      <c r="D143">
        <f t="shared" si="10"/>
        <v>-14</v>
      </c>
      <c r="E143">
        <f t="shared" si="11"/>
        <v>14</v>
      </c>
      <c r="F143">
        <f t="shared" si="12"/>
        <v>196</v>
      </c>
      <c r="G143" s="22">
        <f t="shared" si="13"/>
        <v>0.34146341463414637</v>
      </c>
    </row>
    <row r="144" spans="1:7" ht="15.75" customHeight="1">
      <c r="A144" s="3">
        <v>21693</v>
      </c>
      <c r="B144" s="4">
        <v>45</v>
      </c>
      <c r="C144">
        <f t="shared" si="14"/>
        <v>41</v>
      </c>
      <c r="D144">
        <f t="shared" si="10"/>
        <v>4</v>
      </c>
      <c r="E144">
        <f t="shared" si="11"/>
        <v>4</v>
      </c>
      <c r="F144">
        <f t="shared" si="12"/>
        <v>16</v>
      </c>
      <c r="G144" s="22">
        <f t="shared" si="13"/>
        <v>8.8888888888888892E-2</v>
      </c>
    </row>
    <row r="145" spans="1:7" ht="15.75" customHeight="1">
      <c r="A145" s="3">
        <v>21694</v>
      </c>
      <c r="B145" s="4">
        <v>41</v>
      </c>
      <c r="C145">
        <f t="shared" si="14"/>
        <v>45</v>
      </c>
      <c r="D145">
        <f t="shared" si="10"/>
        <v>-4</v>
      </c>
      <c r="E145">
        <f t="shared" si="11"/>
        <v>4</v>
      </c>
      <c r="F145">
        <f t="shared" si="12"/>
        <v>16</v>
      </c>
      <c r="G145" s="22">
        <f t="shared" si="13"/>
        <v>9.7560975609756101E-2</v>
      </c>
    </row>
    <row r="146" spans="1:7" ht="15.75" customHeight="1">
      <c r="A146" s="3">
        <v>21695</v>
      </c>
      <c r="B146" s="4">
        <v>37</v>
      </c>
      <c r="C146">
        <f t="shared" si="14"/>
        <v>41</v>
      </c>
      <c r="D146">
        <f t="shared" si="10"/>
        <v>-4</v>
      </c>
      <c r="E146">
        <f t="shared" si="11"/>
        <v>4</v>
      </c>
      <c r="F146">
        <f t="shared" si="12"/>
        <v>16</v>
      </c>
      <c r="G146" s="22">
        <f t="shared" si="13"/>
        <v>0.10810810810810811</v>
      </c>
    </row>
    <row r="147" spans="1:7" ht="15.75" customHeight="1">
      <c r="A147" s="3">
        <v>21696</v>
      </c>
      <c r="B147" s="4">
        <v>43</v>
      </c>
      <c r="C147">
        <f t="shared" si="14"/>
        <v>37</v>
      </c>
      <c r="D147">
        <f t="shared" si="10"/>
        <v>6</v>
      </c>
      <c r="E147">
        <f t="shared" si="11"/>
        <v>6</v>
      </c>
      <c r="F147">
        <f t="shared" si="12"/>
        <v>36</v>
      </c>
      <c r="G147" s="22">
        <f t="shared" si="13"/>
        <v>0.13953488372093023</v>
      </c>
    </row>
    <row r="148" spans="1:7" ht="15.75" customHeight="1">
      <c r="A148" s="3">
        <v>21697</v>
      </c>
      <c r="B148" s="4">
        <v>39</v>
      </c>
      <c r="C148">
        <f t="shared" si="14"/>
        <v>43</v>
      </c>
      <c r="D148">
        <f t="shared" si="10"/>
        <v>-4</v>
      </c>
      <c r="E148">
        <f t="shared" si="11"/>
        <v>4</v>
      </c>
      <c r="F148">
        <f t="shared" si="12"/>
        <v>16</v>
      </c>
      <c r="G148" s="22">
        <f t="shared" si="13"/>
        <v>0.10256410256410256</v>
      </c>
    </row>
    <row r="149" spans="1:7" ht="15.75" customHeight="1">
      <c r="A149" s="3">
        <v>21698</v>
      </c>
      <c r="B149" s="4">
        <v>33</v>
      </c>
      <c r="C149">
        <f t="shared" si="14"/>
        <v>39</v>
      </c>
      <c r="D149">
        <f t="shared" si="10"/>
        <v>-6</v>
      </c>
      <c r="E149">
        <f t="shared" si="11"/>
        <v>6</v>
      </c>
      <c r="F149">
        <f t="shared" si="12"/>
        <v>36</v>
      </c>
      <c r="G149" s="22">
        <f t="shared" si="13"/>
        <v>0.18181818181818182</v>
      </c>
    </row>
    <row r="150" spans="1:7" ht="15.75" customHeight="1">
      <c r="A150" s="3">
        <v>21699</v>
      </c>
      <c r="B150" s="4">
        <v>43</v>
      </c>
      <c r="C150">
        <f t="shared" si="14"/>
        <v>33</v>
      </c>
      <c r="D150">
        <f t="shared" si="10"/>
        <v>10</v>
      </c>
      <c r="E150">
        <f t="shared" si="11"/>
        <v>10</v>
      </c>
      <c r="F150">
        <f t="shared" si="12"/>
        <v>100</v>
      </c>
      <c r="G150" s="22">
        <f t="shared" si="13"/>
        <v>0.23255813953488372</v>
      </c>
    </row>
    <row r="151" spans="1:7" ht="15.75" customHeight="1">
      <c r="A151" s="3">
        <v>21700</v>
      </c>
      <c r="B151" s="4">
        <v>40</v>
      </c>
      <c r="C151">
        <f t="shared" si="14"/>
        <v>43</v>
      </c>
      <c r="D151">
        <f t="shared" si="10"/>
        <v>-3</v>
      </c>
      <c r="E151">
        <f t="shared" si="11"/>
        <v>3</v>
      </c>
      <c r="F151">
        <f t="shared" si="12"/>
        <v>9</v>
      </c>
      <c r="G151" s="22">
        <f t="shared" si="13"/>
        <v>7.4999999999999997E-2</v>
      </c>
    </row>
    <row r="152" spans="1:7" ht="15.75" customHeight="1">
      <c r="A152" s="3">
        <v>21701</v>
      </c>
      <c r="B152" s="4">
        <v>38</v>
      </c>
      <c r="C152">
        <f t="shared" si="14"/>
        <v>40</v>
      </c>
      <c r="D152">
        <f t="shared" si="10"/>
        <v>-2</v>
      </c>
      <c r="E152">
        <f t="shared" si="11"/>
        <v>2</v>
      </c>
      <c r="F152">
        <f t="shared" si="12"/>
        <v>4</v>
      </c>
      <c r="G152" s="22">
        <f t="shared" si="13"/>
        <v>5.2631578947368418E-2</v>
      </c>
    </row>
    <row r="153" spans="1:7" ht="15.75" customHeight="1">
      <c r="A153" s="3">
        <v>21702</v>
      </c>
      <c r="B153" s="4">
        <v>45</v>
      </c>
      <c r="C153">
        <f t="shared" si="14"/>
        <v>38</v>
      </c>
      <c r="D153">
        <f t="shared" si="10"/>
        <v>7</v>
      </c>
      <c r="E153">
        <f t="shared" si="11"/>
        <v>7</v>
      </c>
      <c r="F153">
        <f t="shared" si="12"/>
        <v>49</v>
      </c>
      <c r="G153" s="22">
        <f t="shared" si="13"/>
        <v>0.15555555555555556</v>
      </c>
    </row>
    <row r="154" spans="1:7" ht="15.75" customHeight="1">
      <c r="A154" s="3">
        <v>21703</v>
      </c>
      <c r="B154" s="4">
        <v>46</v>
      </c>
      <c r="C154">
        <f t="shared" si="14"/>
        <v>45</v>
      </c>
      <c r="D154">
        <f t="shared" si="10"/>
        <v>1</v>
      </c>
      <c r="E154">
        <f t="shared" si="11"/>
        <v>1</v>
      </c>
      <c r="F154">
        <f t="shared" si="12"/>
        <v>1</v>
      </c>
      <c r="G154" s="22">
        <f t="shared" si="13"/>
        <v>2.1739130434782608E-2</v>
      </c>
    </row>
    <row r="155" spans="1:7" ht="15.75" customHeight="1">
      <c r="A155" s="3">
        <v>21704</v>
      </c>
      <c r="B155" s="4">
        <v>34</v>
      </c>
      <c r="C155">
        <f t="shared" si="14"/>
        <v>46</v>
      </c>
      <c r="D155">
        <f t="shared" si="10"/>
        <v>-12</v>
      </c>
      <c r="E155">
        <f t="shared" si="11"/>
        <v>12</v>
      </c>
      <c r="F155">
        <f t="shared" si="12"/>
        <v>144</v>
      </c>
      <c r="G155" s="22">
        <f t="shared" si="13"/>
        <v>0.35294117647058826</v>
      </c>
    </row>
    <row r="156" spans="1:7" ht="15.75" customHeight="1">
      <c r="A156" s="3">
        <v>21705</v>
      </c>
      <c r="B156" s="4">
        <v>35</v>
      </c>
      <c r="C156">
        <f t="shared" si="14"/>
        <v>34</v>
      </c>
      <c r="D156">
        <f t="shared" si="10"/>
        <v>1</v>
      </c>
      <c r="E156">
        <f t="shared" si="11"/>
        <v>1</v>
      </c>
      <c r="F156">
        <f t="shared" si="12"/>
        <v>1</v>
      </c>
      <c r="G156" s="22">
        <f t="shared" si="13"/>
        <v>2.8571428571428571E-2</v>
      </c>
    </row>
    <row r="157" spans="1:7" ht="15.75" customHeight="1">
      <c r="A157" s="3">
        <v>21706</v>
      </c>
      <c r="B157" s="4">
        <v>48</v>
      </c>
      <c r="C157">
        <f t="shared" si="14"/>
        <v>35</v>
      </c>
      <c r="D157">
        <f t="shared" si="10"/>
        <v>13</v>
      </c>
      <c r="E157">
        <f t="shared" si="11"/>
        <v>13</v>
      </c>
      <c r="F157">
        <f t="shared" si="12"/>
        <v>169</v>
      </c>
      <c r="G157" s="22">
        <f t="shared" si="13"/>
        <v>0.27083333333333331</v>
      </c>
    </row>
    <row r="158" spans="1:7" ht="15.75" customHeight="1">
      <c r="A158" s="3">
        <v>21707</v>
      </c>
      <c r="B158" s="4">
        <v>51</v>
      </c>
      <c r="C158">
        <f t="shared" si="14"/>
        <v>48</v>
      </c>
      <c r="D158">
        <f t="shared" si="10"/>
        <v>3</v>
      </c>
      <c r="E158">
        <f t="shared" si="11"/>
        <v>3</v>
      </c>
      <c r="F158">
        <f t="shared" si="12"/>
        <v>9</v>
      </c>
      <c r="G158" s="22">
        <f t="shared" si="13"/>
        <v>5.8823529411764705E-2</v>
      </c>
    </row>
    <row r="159" spans="1:7" ht="15.75" customHeight="1">
      <c r="A159" s="3">
        <v>21708</v>
      </c>
      <c r="B159" s="4">
        <v>36</v>
      </c>
      <c r="C159">
        <f t="shared" si="14"/>
        <v>51</v>
      </c>
      <c r="D159">
        <f t="shared" si="10"/>
        <v>-15</v>
      </c>
      <c r="E159">
        <f t="shared" si="11"/>
        <v>15</v>
      </c>
      <c r="F159">
        <f t="shared" si="12"/>
        <v>225</v>
      </c>
      <c r="G159" s="22">
        <f t="shared" si="13"/>
        <v>0.41666666666666669</v>
      </c>
    </row>
    <row r="160" spans="1:7" ht="15.75" customHeight="1">
      <c r="A160" s="3">
        <v>21709</v>
      </c>
      <c r="B160" s="4">
        <v>33</v>
      </c>
      <c r="C160">
        <f t="shared" si="14"/>
        <v>36</v>
      </c>
      <c r="D160">
        <f t="shared" si="10"/>
        <v>-3</v>
      </c>
      <c r="E160">
        <f t="shared" si="11"/>
        <v>3</v>
      </c>
      <c r="F160">
        <f t="shared" si="12"/>
        <v>9</v>
      </c>
      <c r="G160" s="22">
        <f t="shared" si="13"/>
        <v>9.0909090909090912E-2</v>
      </c>
    </row>
    <row r="161" spans="1:7" ht="15.75" customHeight="1">
      <c r="A161" s="3">
        <v>21710</v>
      </c>
      <c r="B161" s="4">
        <v>46</v>
      </c>
      <c r="C161">
        <f t="shared" si="14"/>
        <v>33</v>
      </c>
      <c r="D161">
        <f t="shared" si="10"/>
        <v>13</v>
      </c>
      <c r="E161">
        <f t="shared" si="11"/>
        <v>13</v>
      </c>
      <c r="F161">
        <f t="shared" si="12"/>
        <v>169</v>
      </c>
      <c r="G161" s="22">
        <f t="shared" si="13"/>
        <v>0.28260869565217389</v>
      </c>
    </row>
    <row r="162" spans="1:7" ht="15.75" customHeight="1">
      <c r="A162" s="3">
        <v>21711</v>
      </c>
      <c r="B162" s="4">
        <v>42</v>
      </c>
      <c r="C162">
        <f t="shared" si="14"/>
        <v>46</v>
      </c>
      <c r="D162">
        <f t="shared" si="10"/>
        <v>-4</v>
      </c>
      <c r="E162">
        <f t="shared" si="11"/>
        <v>4</v>
      </c>
      <c r="F162">
        <f t="shared" si="12"/>
        <v>16</v>
      </c>
      <c r="G162" s="22">
        <f t="shared" si="13"/>
        <v>9.5238095238095233E-2</v>
      </c>
    </row>
    <row r="163" spans="1:7" ht="15.75" customHeight="1">
      <c r="A163" s="3">
        <v>21712</v>
      </c>
      <c r="B163" s="4">
        <v>48</v>
      </c>
      <c r="C163">
        <f t="shared" si="14"/>
        <v>42</v>
      </c>
      <c r="D163">
        <f t="shared" si="10"/>
        <v>6</v>
      </c>
      <c r="E163">
        <f t="shared" si="11"/>
        <v>6</v>
      </c>
      <c r="F163">
        <f t="shared" si="12"/>
        <v>36</v>
      </c>
      <c r="G163" s="22">
        <f t="shared" si="13"/>
        <v>0.125</v>
      </c>
    </row>
    <row r="164" spans="1:7" ht="15.75" customHeight="1">
      <c r="A164" s="3">
        <v>21713</v>
      </c>
      <c r="B164" s="4">
        <v>34</v>
      </c>
      <c r="C164">
        <f t="shared" si="14"/>
        <v>48</v>
      </c>
      <c r="D164">
        <f t="shared" si="10"/>
        <v>-14</v>
      </c>
      <c r="E164">
        <f t="shared" si="11"/>
        <v>14</v>
      </c>
      <c r="F164">
        <f t="shared" si="12"/>
        <v>196</v>
      </c>
      <c r="G164" s="22">
        <f t="shared" si="13"/>
        <v>0.41176470588235292</v>
      </c>
    </row>
    <row r="165" spans="1:7" ht="15.75" customHeight="1">
      <c r="A165" s="3">
        <v>21714</v>
      </c>
      <c r="B165" s="4">
        <v>41</v>
      </c>
      <c r="C165">
        <f t="shared" si="14"/>
        <v>34</v>
      </c>
      <c r="D165">
        <f t="shared" si="10"/>
        <v>7</v>
      </c>
      <c r="E165">
        <f t="shared" si="11"/>
        <v>7</v>
      </c>
      <c r="F165">
        <f t="shared" si="12"/>
        <v>49</v>
      </c>
      <c r="G165" s="22">
        <f t="shared" si="13"/>
        <v>0.17073170731707318</v>
      </c>
    </row>
    <row r="166" spans="1:7" ht="15.75" customHeight="1">
      <c r="A166" s="3">
        <v>21715</v>
      </c>
      <c r="B166" s="4">
        <v>35</v>
      </c>
      <c r="C166">
        <f t="shared" si="14"/>
        <v>41</v>
      </c>
      <c r="D166">
        <f t="shared" si="10"/>
        <v>-6</v>
      </c>
      <c r="E166">
        <f t="shared" si="11"/>
        <v>6</v>
      </c>
      <c r="F166">
        <f t="shared" si="12"/>
        <v>36</v>
      </c>
      <c r="G166" s="22">
        <f t="shared" si="13"/>
        <v>0.17142857142857143</v>
      </c>
    </row>
    <row r="167" spans="1:7" ht="15.75" customHeight="1">
      <c r="A167" s="3">
        <v>21716</v>
      </c>
      <c r="B167" s="4">
        <v>40</v>
      </c>
      <c r="C167">
        <f t="shared" si="14"/>
        <v>35</v>
      </c>
      <c r="D167">
        <f t="shared" si="10"/>
        <v>5</v>
      </c>
      <c r="E167">
        <f t="shared" si="11"/>
        <v>5</v>
      </c>
      <c r="F167">
        <f t="shared" si="12"/>
        <v>25</v>
      </c>
      <c r="G167" s="22">
        <f t="shared" si="13"/>
        <v>0.125</v>
      </c>
    </row>
    <row r="168" spans="1:7" ht="15.75" customHeight="1">
      <c r="A168" s="3">
        <v>21717</v>
      </c>
      <c r="B168" s="4">
        <v>34</v>
      </c>
      <c r="C168">
        <f t="shared" si="14"/>
        <v>40</v>
      </c>
      <c r="D168">
        <f t="shared" si="10"/>
        <v>-6</v>
      </c>
      <c r="E168">
        <f t="shared" si="11"/>
        <v>6</v>
      </c>
      <c r="F168">
        <f t="shared" si="12"/>
        <v>36</v>
      </c>
      <c r="G168" s="22">
        <f t="shared" si="13"/>
        <v>0.17647058823529413</v>
      </c>
    </row>
    <row r="169" spans="1:7" ht="15.75" customHeight="1">
      <c r="A169" s="3">
        <v>21718</v>
      </c>
      <c r="B169" s="4">
        <v>30</v>
      </c>
      <c r="C169">
        <f t="shared" si="14"/>
        <v>34</v>
      </c>
      <c r="D169">
        <f t="shared" si="10"/>
        <v>-4</v>
      </c>
      <c r="E169">
        <f t="shared" si="11"/>
        <v>4</v>
      </c>
      <c r="F169">
        <f t="shared" si="12"/>
        <v>16</v>
      </c>
      <c r="G169" s="22">
        <f t="shared" si="13"/>
        <v>0.13333333333333333</v>
      </c>
    </row>
    <row r="170" spans="1:7" ht="15.75" customHeight="1">
      <c r="A170" s="3">
        <v>21719</v>
      </c>
      <c r="B170" s="4">
        <v>36</v>
      </c>
      <c r="C170">
        <f t="shared" si="14"/>
        <v>30</v>
      </c>
      <c r="D170">
        <f t="shared" si="10"/>
        <v>6</v>
      </c>
      <c r="E170">
        <f t="shared" si="11"/>
        <v>6</v>
      </c>
      <c r="F170">
        <f t="shared" si="12"/>
        <v>36</v>
      </c>
      <c r="G170" s="22">
        <f t="shared" si="13"/>
        <v>0.16666666666666666</v>
      </c>
    </row>
    <row r="171" spans="1:7" ht="15.75" customHeight="1">
      <c r="A171" s="3">
        <v>21720</v>
      </c>
      <c r="B171" s="4">
        <v>40</v>
      </c>
      <c r="C171">
        <f t="shared" si="14"/>
        <v>36</v>
      </c>
      <c r="D171">
        <f t="shared" si="10"/>
        <v>4</v>
      </c>
      <c r="E171">
        <f t="shared" si="11"/>
        <v>4</v>
      </c>
      <c r="F171">
        <f t="shared" si="12"/>
        <v>16</v>
      </c>
      <c r="G171" s="22">
        <f t="shared" si="13"/>
        <v>0.1</v>
      </c>
    </row>
    <row r="172" spans="1:7" ht="15.75" customHeight="1">
      <c r="A172" s="3">
        <v>21721</v>
      </c>
      <c r="B172" s="4">
        <v>39</v>
      </c>
      <c r="C172">
        <f t="shared" si="14"/>
        <v>40</v>
      </c>
      <c r="D172">
        <f t="shared" si="10"/>
        <v>-1</v>
      </c>
      <c r="E172">
        <f t="shared" si="11"/>
        <v>1</v>
      </c>
      <c r="F172">
        <f t="shared" si="12"/>
        <v>1</v>
      </c>
      <c r="G172" s="22">
        <f t="shared" si="13"/>
        <v>2.564102564102564E-2</v>
      </c>
    </row>
    <row r="173" spans="1:7" ht="15.75" customHeight="1">
      <c r="A173" s="3">
        <v>21722</v>
      </c>
      <c r="B173" s="4">
        <v>45</v>
      </c>
      <c r="C173">
        <f t="shared" si="14"/>
        <v>39</v>
      </c>
      <c r="D173">
        <f t="shared" si="10"/>
        <v>6</v>
      </c>
      <c r="E173">
        <f t="shared" si="11"/>
        <v>6</v>
      </c>
      <c r="F173">
        <f t="shared" si="12"/>
        <v>36</v>
      </c>
      <c r="G173" s="22">
        <f t="shared" si="13"/>
        <v>0.13333333333333333</v>
      </c>
    </row>
    <row r="174" spans="1:7" ht="15.75" customHeight="1">
      <c r="A174" s="3">
        <v>21723</v>
      </c>
      <c r="B174" s="4">
        <v>38</v>
      </c>
      <c r="C174">
        <f t="shared" si="14"/>
        <v>45</v>
      </c>
      <c r="D174">
        <f t="shared" si="10"/>
        <v>-7</v>
      </c>
      <c r="E174">
        <f t="shared" si="11"/>
        <v>7</v>
      </c>
      <c r="F174">
        <f t="shared" si="12"/>
        <v>49</v>
      </c>
      <c r="G174" s="22">
        <f t="shared" si="13"/>
        <v>0.18421052631578946</v>
      </c>
    </row>
    <row r="175" spans="1:7" ht="15.75" customHeight="1">
      <c r="A175" s="3">
        <v>21724</v>
      </c>
      <c r="B175" s="4">
        <v>47</v>
      </c>
      <c r="C175">
        <f t="shared" si="14"/>
        <v>38</v>
      </c>
      <c r="D175">
        <f t="shared" si="10"/>
        <v>9</v>
      </c>
      <c r="E175">
        <f t="shared" si="11"/>
        <v>9</v>
      </c>
      <c r="F175">
        <f t="shared" si="12"/>
        <v>81</v>
      </c>
      <c r="G175" s="22">
        <f t="shared" si="13"/>
        <v>0.19148936170212766</v>
      </c>
    </row>
    <row r="176" spans="1:7" ht="15.75" customHeight="1">
      <c r="A176" s="3">
        <v>21725</v>
      </c>
      <c r="B176" s="4">
        <v>33</v>
      </c>
      <c r="C176">
        <f t="shared" si="14"/>
        <v>47</v>
      </c>
      <c r="D176">
        <f t="shared" si="10"/>
        <v>-14</v>
      </c>
      <c r="E176">
        <f t="shared" si="11"/>
        <v>14</v>
      </c>
      <c r="F176">
        <f t="shared" si="12"/>
        <v>196</v>
      </c>
      <c r="G176" s="22">
        <f t="shared" si="13"/>
        <v>0.42424242424242425</v>
      </c>
    </row>
    <row r="177" spans="1:7" ht="15.75" customHeight="1">
      <c r="A177" s="3">
        <v>21726</v>
      </c>
      <c r="B177" s="4">
        <v>30</v>
      </c>
      <c r="C177">
        <f t="shared" si="14"/>
        <v>33</v>
      </c>
      <c r="D177">
        <f t="shared" si="10"/>
        <v>-3</v>
      </c>
      <c r="E177">
        <f t="shared" si="11"/>
        <v>3</v>
      </c>
      <c r="F177">
        <f t="shared" si="12"/>
        <v>9</v>
      </c>
      <c r="G177" s="22">
        <f t="shared" si="13"/>
        <v>0.1</v>
      </c>
    </row>
    <row r="178" spans="1:7" ht="15.75" customHeight="1">
      <c r="A178" s="3">
        <v>21727</v>
      </c>
      <c r="B178" s="4">
        <v>42</v>
      </c>
      <c r="C178">
        <f t="shared" si="14"/>
        <v>30</v>
      </c>
      <c r="D178">
        <f t="shared" si="10"/>
        <v>12</v>
      </c>
      <c r="E178">
        <f t="shared" si="11"/>
        <v>12</v>
      </c>
      <c r="F178">
        <f t="shared" si="12"/>
        <v>144</v>
      </c>
      <c r="G178" s="22">
        <f t="shared" si="13"/>
        <v>0.2857142857142857</v>
      </c>
    </row>
    <row r="179" spans="1:7" ht="15.75" customHeight="1">
      <c r="A179" s="3">
        <v>21728</v>
      </c>
      <c r="B179" s="4">
        <v>43</v>
      </c>
      <c r="C179">
        <f t="shared" si="14"/>
        <v>42</v>
      </c>
      <c r="D179">
        <f t="shared" si="10"/>
        <v>1</v>
      </c>
      <c r="E179">
        <f t="shared" si="11"/>
        <v>1</v>
      </c>
      <c r="F179">
        <f t="shared" si="12"/>
        <v>1</v>
      </c>
      <c r="G179" s="22">
        <f t="shared" si="13"/>
        <v>2.3255813953488372E-2</v>
      </c>
    </row>
    <row r="180" spans="1:7" ht="15.75" customHeight="1">
      <c r="A180" s="3">
        <v>21729</v>
      </c>
      <c r="B180" s="4">
        <v>41</v>
      </c>
      <c r="C180">
        <f t="shared" si="14"/>
        <v>43</v>
      </c>
      <c r="D180">
        <f t="shared" si="10"/>
        <v>-2</v>
      </c>
      <c r="E180">
        <f t="shared" si="11"/>
        <v>2</v>
      </c>
      <c r="F180">
        <f t="shared" si="12"/>
        <v>4</v>
      </c>
      <c r="G180" s="22">
        <f t="shared" si="13"/>
        <v>4.878048780487805E-2</v>
      </c>
    </row>
    <row r="181" spans="1:7" ht="15.75" customHeight="1">
      <c r="A181" s="3">
        <v>21730</v>
      </c>
      <c r="B181" s="4">
        <v>41</v>
      </c>
      <c r="C181">
        <f t="shared" si="14"/>
        <v>41</v>
      </c>
      <c r="D181">
        <f t="shared" si="10"/>
        <v>0</v>
      </c>
      <c r="E181">
        <f t="shared" si="11"/>
        <v>0</v>
      </c>
      <c r="F181">
        <f t="shared" si="12"/>
        <v>0</v>
      </c>
      <c r="G181" s="22">
        <f t="shared" si="13"/>
        <v>0</v>
      </c>
    </row>
    <row r="182" spans="1:7" ht="15.75" customHeight="1">
      <c r="A182" s="3">
        <v>21731</v>
      </c>
      <c r="B182" s="4">
        <v>59</v>
      </c>
      <c r="C182">
        <f t="shared" si="14"/>
        <v>41</v>
      </c>
      <c r="D182">
        <f t="shared" si="10"/>
        <v>18</v>
      </c>
      <c r="E182">
        <f t="shared" si="11"/>
        <v>18</v>
      </c>
      <c r="F182">
        <f t="shared" si="12"/>
        <v>324</v>
      </c>
      <c r="G182" s="22">
        <f t="shared" si="13"/>
        <v>0.30508474576271188</v>
      </c>
    </row>
    <row r="183" spans="1:7" ht="15.75" customHeight="1">
      <c r="A183" s="3">
        <v>21732</v>
      </c>
      <c r="B183" s="4">
        <v>43</v>
      </c>
      <c r="C183">
        <f t="shared" si="14"/>
        <v>59</v>
      </c>
      <c r="D183">
        <f t="shared" si="10"/>
        <v>-16</v>
      </c>
      <c r="E183">
        <f t="shared" si="11"/>
        <v>16</v>
      </c>
      <c r="F183">
        <f t="shared" si="12"/>
        <v>256</v>
      </c>
      <c r="G183" s="22">
        <f t="shared" si="13"/>
        <v>0.37209302325581395</v>
      </c>
    </row>
    <row r="184" spans="1:7" ht="15.75" customHeight="1">
      <c r="A184" s="3">
        <v>21733</v>
      </c>
      <c r="B184" s="4">
        <v>45</v>
      </c>
      <c r="C184">
        <f t="shared" si="14"/>
        <v>43</v>
      </c>
      <c r="D184">
        <f t="shared" si="10"/>
        <v>2</v>
      </c>
      <c r="E184">
        <f t="shared" si="11"/>
        <v>2</v>
      </c>
      <c r="F184">
        <f t="shared" si="12"/>
        <v>4</v>
      </c>
      <c r="G184" s="22">
        <f t="shared" si="13"/>
        <v>4.4444444444444446E-2</v>
      </c>
    </row>
    <row r="185" spans="1:7" ht="15.75" customHeight="1">
      <c r="A185" s="3">
        <v>21734</v>
      </c>
      <c r="B185" s="4">
        <v>38</v>
      </c>
      <c r="C185">
        <f t="shared" si="14"/>
        <v>45</v>
      </c>
      <c r="D185">
        <f t="shared" si="10"/>
        <v>-7</v>
      </c>
      <c r="E185">
        <f t="shared" si="11"/>
        <v>7</v>
      </c>
      <c r="F185">
        <f t="shared" si="12"/>
        <v>49</v>
      </c>
      <c r="G185" s="22">
        <f t="shared" si="13"/>
        <v>0.18421052631578946</v>
      </c>
    </row>
    <row r="186" spans="1:7" ht="15.75" customHeight="1">
      <c r="A186" s="3">
        <v>21735</v>
      </c>
      <c r="B186" s="4">
        <v>37</v>
      </c>
      <c r="C186">
        <f t="shared" si="14"/>
        <v>38</v>
      </c>
      <c r="D186">
        <f t="shared" si="10"/>
        <v>-1</v>
      </c>
      <c r="E186">
        <f t="shared" si="11"/>
        <v>1</v>
      </c>
      <c r="F186">
        <f t="shared" si="12"/>
        <v>1</v>
      </c>
      <c r="G186" s="22">
        <f t="shared" si="13"/>
        <v>2.7027027027027029E-2</v>
      </c>
    </row>
    <row r="187" spans="1:7" ht="15.75" customHeight="1">
      <c r="A187" s="3">
        <v>21736</v>
      </c>
      <c r="B187" s="4">
        <v>45</v>
      </c>
      <c r="C187">
        <f t="shared" si="14"/>
        <v>37</v>
      </c>
      <c r="D187">
        <f t="shared" si="10"/>
        <v>8</v>
      </c>
      <c r="E187">
        <f t="shared" si="11"/>
        <v>8</v>
      </c>
      <c r="F187">
        <f t="shared" si="12"/>
        <v>64</v>
      </c>
      <c r="G187" s="22">
        <f t="shared" si="13"/>
        <v>0.17777777777777778</v>
      </c>
    </row>
    <row r="188" spans="1:7" ht="15.75" customHeight="1">
      <c r="A188" s="3">
        <v>21737</v>
      </c>
      <c r="B188" s="4">
        <v>42</v>
      </c>
      <c r="C188">
        <f t="shared" si="14"/>
        <v>45</v>
      </c>
      <c r="D188">
        <f t="shared" si="10"/>
        <v>-3</v>
      </c>
      <c r="E188">
        <f t="shared" si="11"/>
        <v>3</v>
      </c>
      <c r="F188">
        <f t="shared" si="12"/>
        <v>9</v>
      </c>
      <c r="G188" s="22">
        <f t="shared" si="13"/>
        <v>7.1428571428571425E-2</v>
      </c>
    </row>
    <row r="189" spans="1:7" ht="15.75" customHeight="1">
      <c r="A189" s="3">
        <v>21738</v>
      </c>
      <c r="B189" s="4">
        <v>57</v>
      </c>
      <c r="C189">
        <f t="shared" si="14"/>
        <v>42</v>
      </c>
      <c r="D189">
        <f t="shared" si="10"/>
        <v>15</v>
      </c>
      <c r="E189">
        <f t="shared" si="11"/>
        <v>15</v>
      </c>
      <c r="F189">
        <f t="shared" si="12"/>
        <v>225</v>
      </c>
      <c r="G189" s="22">
        <f t="shared" si="13"/>
        <v>0.26315789473684209</v>
      </c>
    </row>
    <row r="190" spans="1:7" ht="15.75" customHeight="1">
      <c r="A190" s="3">
        <v>21739</v>
      </c>
      <c r="B190" s="4">
        <v>46</v>
      </c>
      <c r="C190">
        <f t="shared" si="14"/>
        <v>57</v>
      </c>
      <c r="D190">
        <f t="shared" si="10"/>
        <v>-11</v>
      </c>
      <c r="E190">
        <f t="shared" si="11"/>
        <v>11</v>
      </c>
      <c r="F190">
        <f t="shared" si="12"/>
        <v>121</v>
      </c>
      <c r="G190" s="22">
        <f t="shared" si="13"/>
        <v>0.2391304347826087</v>
      </c>
    </row>
    <row r="191" spans="1:7" ht="15.75" customHeight="1">
      <c r="A191" s="3">
        <v>21740</v>
      </c>
      <c r="B191" s="4">
        <v>51</v>
      </c>
      <c r="C191">
        <f t="shared" si="14"/>
        <v>46</v>
      </c>
      <c r="D191">
        <f t="shared" si="10"/>
        <v>5</v>
      </c>
      <c r="E191">
        <f t="shared" si="11"/>
        <v>5</v>
      </c>
      <c r="F191">
        <f t="shared" si="12"/>
        <v>25</v>
      </c>
      <c r="G191" s="22">
        <f t="shared" si="13"/>
        <v>9.8039215686274508E-2</v>
      </c>
    </row>
    <row r="192" spans="1:7" ht="15.75" customHeight="1">
      <c r="A192" s="3">
        <v>21741</v>
      </c>
      <c r="B192" s="4">
        <v>41</v>
      </c>
      <c r="C192">
        <f t="shared" si="14"/>
        <v>51</v>
      </c>
      <c r="D192">
        <f t="shared" si="10"/>
        <v>-10</v>
      </c>
      <c r="E192">
        <f t="shared" si="11"/>
        <v>10</v>
      </c>
      <c r="F192">
        <f t="shared" si="12"/>
        <v>100</v>
      </c>
      <c r="G192" s="22">
        <f t="shared" si="13"/>
        <v>0.24390243902439024</v>
      </c>
    </row>
    <row r="193" spans="1:7" ht="15.75" customHeight="1">
      <c r="A193" s="3">
        <v>21742</v>
      </c>
      <c r="B193" s="4">
        <v>47</v>
      </c>
      <c r="C193">
        <f t="shared" si="14"/>
        <v>41</v>
      </c>
      <c r="D193">
        <f t="shared" si="10"/>
        <v>6</v>
      </c>
      <c r="E193">
        <f t="shared" si="11"/>
        <v>6</v>
      </c>
      <c r="F193">
        <f t="shared" si="12"/>
        <v>36</v>
      </c>
      <c r="G193" s="22">
        <f t="shared" si="13"/>
        <v>0.1276595744680851</v>
      </c>
    </row>
    <row r="194" spans="1:7" ht="15.75" customHeight="1">
      <c r="A194" s="3">
        <v>21743</v>
      </c>
      <c r="B194" s="4">
        <v>26</v>
      </c>
      <c r="C194">
        <f t="shared" si="14"/>
        <v>47</v>
      </c>
      <c r="D194">
        <f t="shared" si="10"/>
        <v>-21</v>
      </c>
      <c r="E194">
        <f t="shared" si="11"/>
        <v>21</v>
      </c>
      <c r="F194">
        <f t="shared" si="12"/>
        <v>441</v>
      </c>
      <c r="G194" s="22">
        <f t="shared" si="13"/>
        <v>0.80769230769230771</v>
      </c>
    </row>
    <row r="195" spans="1:7" ht="15.75" customHeight="1">
      <c r="A195" s="3">
        <v>21744</v>
      </c>
      <c r="B195" s="4">
        <v>35</v>
      </c>
      <c r="C195">
        <f t="shared" si="14"/>
        <v>26</v>
      </c>
      <c r="D195">
        <f t="shared" si="10"/>
        <v>9</v>
      </c>
      <c r="E195">
        <f t="shared" si="11"/>
        <v>9</v>
      </c>
      <c r="F195">
        <f t="shared" si="12"/>
        <v>81</v>
      </c>
      <c r="G195" s="22">
        <f t="shared" si="13"/>
        <v>0.25714285714285712</v>
      </c>
    </row>
    <row r="196" spans="1:7" ht="15.75" customHeight="1">
      <c r="A196" s="3">
        <v>21745</v>
      </c>
      <c r="B196" s="4">
        <v>44</v>
      </c>
      <c r="C196">
        <f t="shared" si="14"/>
        <v>35</v>
      </c>
      <c r="D196">
        <f t="shared" ref="D196:D259" si="15">B196-C196</f>
        <v>9</v>
      </c>
      <c r="E196">
        <f t="shared" ref="E196:E259" si="16">ABS(D196)</f>
        <v>9</v>
      </c>
      <c r="F196">
        <f t="shared" ref="F196:F259" si="17">E196^2</f>
        <v>81</v>
      </c>
      <c r="G196" s="22">
        <f t="shared" ref="G196:G259" si="18">E196/B196</f>
        <v>0.20454545454545456</v>
      </c>
    </row>
    <row r="197" spans="1:7" ht="15.75" customHeight="1">
      <c r="A197" s="3">
        <v>21746</v>
      </c>
      <c r="B197" s="4">
        <v>41</v>
      </c>
      <c r="C197">
        <f t="shared" ref="C197:C260" si="19">B196</f>
        <v>44</v>
      </c>
      <c r="D197">
        <f t="shared" si="15"/>
        <v>-3</v>
      </c>
      <c r="E197">
        <f t="shared" si="16"/>
        <v>3</v>
      </c>
      <c r="F197">
        <f t="shared" si="17"/>
        <v>9</v>
      </c>
      <c r="G197" s="22">
        <f t="shared" si="18"/>
        <v>7.3170731707317069E-2</v>
      </c>
    </row>
    <row r="198" spans="1:7" ht="15.75" customHeight="1">
      <c r="A198" s="3">
        <v>21747</v>
      </c>
      <c r="B198" s="4">
        <v>42</v>
      </c>
      <c r="C198">
        <f t="shared" si="19"/>
        <v>41</v>
      </c>
      <c r="D198">
        <f t="shared" si="15"/>
        <v>1</v>
      </c>
      <c r="E198">
        <f t="shared" si="16"/>
        <v>1</v>
      </c>
      <c r="F198">
        <f t="shared" si="17"/>
        <v>1</v>
      </c>
      <c r="G198" s="22">
        <f t="shared" si="18"/>
        <v>2.3809523809523808E-2</v>
      </c>
    </row>
    <row r="199" spans="1:7" ht="15.75" customHeight="1">
      <c r="A199" s="3">
        <v>21748</v>
      </c>
      <c r="B199" s="4">
        <v>36</v>
      </c>
      <c r="C199">
        <f t="shared" si="19"/>
        <v>42</v>
      </c>
      <c r="D199">
        <f t="shared" si="15"/>
        <v>-6</v>
      </c>
      <c r="E199">
        <f t="shared" si="16"/>
        <v>6</v>
      </c>
      <c r="F199">
        <f t="shared" si="17"/>
        <v>36</v>
      </c>
      <c r="G199" s="22">
        <f t="shared" si="18"/>
        <v>0.16666666666666666</v>
      </c>
    </row>
    <row r="200" spans="1:7" ht="15.75" customHeight="1">
      <c r="A200" s="3">
        <v>21749</v>
      </c>
      <c r="B200" s="4">
        <v>45</v>
      </c>
      <c r="C200">
        <f t="shared" si="19"/>
        <v>36</v>
      </c>
      <c r="D200">
        <f t="shared" si="15"/>
        <v>9</v>
      </c>
      <c r="E200">
        <f t="shared" si="16"/>
        <v>9</v>
      </c>
      <c r="F200">
        <f t="shared" si="17"/>
        <v>81</v>
      </c>
      <c r="G200" s="22">
        <f t="shared" si="18"/>
        <v>0.2</v>
      </c>
    </row>
    <row r="201" spans="1:7" ht="15.75" customHeight="1">
      <c r="A201" s="3">
        <v>21750</v>
      </c>
      <c r="B201" s="4">
        <v>45</v>
      </c>
      <c r="C201">
        <f t="shared" si="19"/>
        <v>45</v>
      </c>
      <c r="D201">
        <f t="shared" si="15"/>
        <v>0</v>
      </c>
      <c r="E201">
        <f t="shared" si="16"/>
        <v>0</v>
      </c>
      <c r="F201">
        <f t="shared" si="17"/>
        <v>0</v>
      </c>
      <c r="G201" s="22">
        <f t="shared" si="18"/>
        <v>0</v>
      </c>
    </row>
    <row r="202" spans="1:7" ht="15.75" customHeight="1">
      <c r="A202" s="3">
        <v>21751</v>
      </c>
      <c r="B202" s="4">
        <v>45</v>
      </c>
      <c r="C202">
        <f t="shared" si="19"/>
        <v>45</v>
      </c>
      <c r="D202">
        <f t="shared" si="15"/>
        <v>0</v>
      </c>
      <c r="E202">
        <f t="shared" si="16"/>
        <v>0</v>
      </c>
      <c r="F202">
        <f t="shared" si="17"/>
        <v>0</v>
      </c>
      <c r="G202" s="22">
        <f t="shared" si="18"/>
        <v>0</v>
      </c>
    </row>
    <row r="203" spans="1:7" ht="15.75" customHeight="1">
      <c r="A203" s="3">
        <v>21752</v>
      </c>
      <c r="B203" s="4">
        <v>47</v>
      </c>
      <c r="C203">
        <f t="shared" si="19"/>
        <v>45</v>
      </c>
      <c r="D203">
        <f t="shared" si="15"/>
        <v>2</v>
      </c>
      <c r="E203">
        <f t="shared" si="16"/>
        <v>2</v>
      </c>
      <c r="F203">
        <f t="shared" si="17"/>
        <v>4</v>
      </c>
      <c r="G203" s="22">
        <f t="shared" si="18"/>
        <v>4.2553191489361701E-2</v>
      </c>
    </row>
    <row r="204" spans="1:7" ht="15.75" customHeight="1">
      <c r="A204" s="3">
        <v>21753</v>
      </c>
      <c r="B204" s="4">
        <v>38</v>
      </c>
      <c r="C204">
        <f t="shared" si="19"/>
        <v>47</v>
      </c>
      <c r="D204">
        <f t="shared" si="15"/>
        <v>-9</v>
      </c>
      <c r="E204">
        <f t="shared" si="16"/>
        <v>9</v>
      </c>
      <c r="F204">
        <f t="shared" si="17"/>
        <v>81</v>
      </c>
      <c r="G204" s="22">
        <f t="shared" si="18"/>
        <v>0.23684210526315788</v>
      </c>
    </row>
    <row r="205" spans="1:7" ht="15.75" customHeight="1">
      <c r="A205" s="3">
        <v>21754</v>
      </c>
      <c r="B205" s="4">
        <v>42</v>
      </c>
      <c r="C205">
        <f t="shared" si="19"/>
        <v>38</v>
      </c>
      <c r="D205">
        <f t="shared" si="15"/>
        <v>4</v>
      </c>
      <c r="E205">
        <f t="shared" si="16"/>
        <v>4</v>
      </c>
      <c r="F205">
        <f t="shared" si="17"/>
        <v>16</v>
      </c>
      <c r="G205" s="22">
        <f t="shared" si="18"/>
        <v>9.5238095238095233E-2</v>
      </c>
    </row>
    <row r="206" spans="1:7" ht="15.75" customHeight="1">
      <c r="A206" s="3">
        <v>21755</v>
      </c>
      <c r="B206" s="4">
        <v>35</v>
      </c>
      <c r="C206">
        <f t="shared" si="19"/>
        <v>42</v>
      </c>
      <c r="D206">
        <f t="shared" si="15"/>
        <v>-7</v>
      </c>
      <c r="E206">
        <f t="shared" si="16"/>
        <v>7</v>
      </c>
      <c r="F206">
        <f t="shared" si="17"/>
        <v>49</v>
      </c>
      <c r="G206" s="22">
        <f t="shared" si="18"/>
        <v>0.2</v>
      </c>
    </row>
    <row r="207" spans="1:7" ht="15.75" customHeight="1">
      <c r="A207" s="3">
        <v>21756</v>
      </c>
      <c r="B207" s="4">
        <v>36</v>
      </c>
      <c r="C207">
        <f t="shared" si="19"/>
        <v>35</v>
      </c>
      <c r="D207">
        <f t="shared" si="15"/>
        <v>1</v>
      </c>
      <c r="E207">
        <f t="shared" si="16"/>
        <v>1</v>
      </c>
      <c r="F207">
        <f t="shared" si="17"/>
        <v>1</v>
      </c>
      <c r="G207" s="22">
        <f t="shared" si="18"/>
        <v>2.7777777777777776E-2</v>
      </c>
    </row>
    <row r="208" spans="1:7" ht="15.75" customHeight="1">
      <c r="A208" s="3">
        <v>21757</v>
      </c>
      <c r="B208" s="4">
        <v>39</v>
      </c>
      <c r="C208">
        <f t="shared" si="19"/>
        <v>36</v>
      </c>
      <c r="D208">
        <f t="shared" si="15"/>
        <v>3</v>
      </c>
      <c r="E208">
        <f t="shared" si="16"/>
        <v>3</v>
      </c>
      <c r="F208">
        <f t="shared" si="17"/>
        <v>9</v>
      </c>
      <c r="G208" s="22">
        <f t="shared" si="18"/>
        <v>7.6923076923076927E-2</v>
      </c>
    </row>
    <row r="209" spans="1:7" ht="15.75" customHeight="1">
      <c r="A209" s="3">
        <v>21758</v>
      </c>
      <c r="B209" s="4">
        <v>45</v>
      </c>
      <c r="C209">
        <f t="shared" si="19"/>
        <v>39</v>
      </c>
      <c r="D209">
        <f t="shared" si="15"/>
        <v>6</v>
      </c>
      <c r="E209">
        <f t="shared" si="16"/>
        <v>6</v>
      </c>
      <c r="F209">
        <f t="shared" si="17"/>
        <v>36</v>
      </c>
      <c r="G209" s="22">
        <f t="shared" si="18"/>
        <v>0.13333333333333333</v>
      </c>
    </row>
    <row r="210" spans="1:7" ht="15.75" customHeight="1">
      <c r="A210" s="3">
        <v>21759</v>
      </c>
      <c r="B210" s="4">
        <v>43</v>
      </c>
      <c r="C210">
        <f t="shared" si="19"/>
        <v>45</v>
      </c>
      <c r="D210">
        <f t="shared" si="15"/>
        <v>-2</v>
      </c>
      <c r="E210">
        <f t="shared" si="16"/>
        <v>2</v>
      </c>
      <c r="F210">
        <f t="shared" si="17"/>
        <v>4</v>
      </c>
      <c r="G210" s="22">
        <f t="shared" si="18"/>
        <v>4.6511627906976744E-2</v>
      </c>
    </row>
    <row r="211" spans="1:7" ht="15.75" customHeight="1">
      <c r="A211" s="3">
        <v>21760</v>
      </c>
      <c r="B211" s="4">
        <v>47</v>
      </c>
      <c r="C211">
        <f t="shared" si="19"/>
        <v>43</v>
      </c>
      <c r="D211">
        <f t="shared" si="15"/>
        <v>4</v>
      </c>
      <c r="E211">
        <f t="shared" si="16"/>
        <v>4</v>
      </c>
      <c r="F211">
        <f t="shared" si="17"/>
        <v>16</v>
      </c>
      <c r="G211" s="22">
        <f t="shared" si="18"/>
        <v>8.5106382978723402E-2</v>
      </c>
    </row>
    <row r="212" spans="1:7" ht="15.75" customHeight="1">
      <c r="A212" s="3">
        <v>21761</v>
      </c>
      <c r="B212" s="4">
        <v>36</v>
      </c>
      <c r="C212">
        <f t="shared" si="19"/>
        <v>47</v>
      </c>
      <c r="D212">
        <f t="shared" si="15"/>
        <v>-11</v>
      </c>
      <c r="E212">
        <f t="shared" si="16"/>
        <v>11</v>
      </c>
      <c r="F212">
        <f t="shared" si="17"/>
        <v>121</v>
      </c>
      <c r="G212" s="22">
        <f t="shared" si="18"/>
        <v>0.30555555555555558</v>
      </c>
    </row>
    <row r="213" spans="1:7" ht="15.75" customHeight="1">
      <c r="A213" s="3">
        <v>21762</v>
      </c>
      <c r="B213" s="4">
        <v>41</v>
      </c>
      <c r="C213">
        <f t="shared" si="19"/>
        <v>36</v>
      </c>
      <c r="D213">
        <f t="shared" si="15"/>
        <v>5</v>
      </c>
      <c r="E213">
        <f t="shared" si="16"/>
        <v>5</v>
      </c>
      <c r="F213">
        <f t="shared" si="17"/>
        <v>25</v>
      </c>
      <c r="G213" s="22">
        <f t="shared" si="18"/>
        <v>0.12195121951219512</v>
      </c>
    </row>
    <row r="214" spans="1:7" ht="15.75" customHeight="1">
      <c r="A214" s="3">
        <v>21763</v>
      </c>
      <c r="B214" s="4">
        <v>50</v>
      </c>
      <c r="C214">
        <f t="shared" si="19"/>
        <v>41</v>
      </c>
      <c r="D214">
        <f t="shared" si="15"/>
        <v>9</v>
      </c>
      <c r="E214">
        <f t="shared" si="16"/>
        <v>9</v>
      </c>
      <c r="F214">
        <f t="shared" si="17"/>
        <v>81</v>
      </c>
      <c r="G214" s="22">
        <f t="shared" si="18"/>
        <v>0.18</v>
      </c>
    </row>
    <row r="215" spans="1:7" ht="15.75" customHeight="1">
      <c r="A215" s="3">
        <v>21764</v>
      </c>
      <c r="B215" s="4">
        <v>39</v>
      </c>
      <c r="C215">
        <f t="shared" si="19"/>
        <v>50</v>
      </c>
      <c r="D215">
        <f t="shared" si="15"/>
        <v>-11</v>
      </c>
      <c r="E215">
        <f t="shared" si="16"/>
        <v>11</v>
      </c>
      <c r="F215">
        <f t="shared" si="17"/>
        <v>121</v>
      </c>
      <c r="G215" s="22">
        <f t="shared" si="18"/>
        <v>0.28205128205128205</v>
      </c>
    </row>
    <row r="216" spans="1:7" ht="15.75" customHeight="1">
      <c r="A216" s="3">
        <v>21765</v>
      </c>
      <c r="B216" s="4">
        <v>41</v>
      </c>
      <c r="C216">
        <f t="shared" si="19"/>
        <v>39</v>
      </c>
      <c r="D216">
        <f t="shared" si="15"/>
        <v>2</v>
      </c>
      <c r="E216">
        <f t="shared" si="16"/>
        <v>2</v>
      </c>
      <c r="F216">
        <f t="shared" si="17"/>
        <v>4</v>
      </c>
      <c r="G216" s="22">
        <f t="shared" si="18"/>
        <v>4.878048780487805E-2</v>
      </c>
    </row>
    <row r="217" spans="1:7" ht="15.75" customHeight="1">
      <c r="A217" s="3">
        <v>21766</v>
      </c>
      <c r="B217" s="4">
        <v>46</v>
      </c>
      <c r="C217">
        <f t="shared" si="19"/>
        <v>41</v>
      </c>
      <c r="D217">
        <f t="shared" si="15"/>
        <v>5</v>
      </c>
      <c r="E217">
        <f t="shared" si="16"/>
        <v>5</v>
      </c>
      <c r="F217">
        <f t="shared" si="17"/>
        <v>25</v>
      </c>
      <c r="G217" s="22">
        <f t="shared" si="18"/>
        <v>0.10869565217391304</v>
      </c>
    </row>
    <row r="218" spans="1:7" ht="15.75" customHeight="1">
      <c r="A218" s="3">
        <v>21767</v>
      </c>
      <c r="B218" s="4">
        <v>64</v>
      </c>
      <c r="C218">
        <f t="shared" si="19"/>
        <v>46</v>
      </c>
      <c r="D218">
        <f t="shared" si="15"/>
        <v>18</v>
      </c>
      <c r="E218">
        <f t="shared" si="16"/>
        <v>18</v>
      </c>
      <c r="F218">
        <f t="shared" si="17"/>
        <v>324</v>
      </c>
      <c r="G218" s="22">
        <f t="shared" si="18"/>
        <v>0.28125</v>
      </c>
    </row>
    <row r="219" spans="1:7" ht="15.75" customHeight="1">
      <c r="A219" s="3">
        <v>21768</v>
      </c>
      <c r="B219" s="4">
        <v>45</v>
      </c>
      <c r="C219">
        <f t="shared" si="19"/>
        <v>64</v>
      </c>
      <c r="D219">
        <f t="shared" si="15"/>
        <v>-19</v>
      </c>
      <c r="E219">
        <f t="shared" si="16"/>
        <v>19</v>
      </c>
      <c r="F219">
        <f t="shared" si="17"/>
        <v>361</v>
      </c>
      <c r="G219" s="22">
        <f t="shared" si="18"/>
        <v>0.42222222222222222</v>
      </c>
    </row>
    <row r="220" spans="1:7" ht="15.75" customHeight="1">
      <c r="A220" s="3">
        <v>21769</v>
      </c>
      <c r="B220" s="4">
        <v>34</v>
      </c>
      <c r="C220">
        <f t="shared" si="19"/>
        <v>45</v>
      </c>
      <c r="D220">
        <f t="shared" si="15"/>
        <v>-11</v>
      </c>
      <c r="E220">
        <f t="shared" si="16"/>
        <v>11</v>
      </c>
      <c r="F220">
        <f t="shared" si="17"/>
        <v>121</v>
      </c>
      <c r="G220" s="22">
        <f t="shared" si="18"/>
        <v>0.3235294117647059</v>
      </c>
    </row>
    <row r="221" spans="1:7" ht="15.75" customHeight="1">
      <c r="A221" s="3">
        <v>21770</v>
      </c>
      <c r="B221" s="4">
        <v>38</v>
      </c>
      <c r="C221">
        <f t="shared" si="19"/>
        <v>34</v>
      </c>
      <c r="D221">
        <f t="shared" si="15"/>
        <v>4</v>
      </c>
      <c r="E221">
        <f t="shared" si="16"/>
        <v>4</v>
      </c>
      <c r="F221">
        <f t="shared" si="17"/>
        <v>16</v>
      </c>
      <c r="G221" s="22">
        <f t="shared" si="18"/>
        <v>0.10526315789473684</v>
      </c>
    </row>
    <row r="222" spans="1:7" ht="15.75" customHeight="1">
      <c r="A222" s="3">
        <v>21771</v>
      </c>
      <c r="B222" s="4">
        <v>44</v>
      </c>
      <c r="C222">
        <f t="shared" si="19"/>
        <v>38</v>
      </c>
      <c r="D222">
        <f t="shared" si="15"/>
        <v>6</v>
      </c>
      <c r="E222">
        <f t="shared" si="16"/>
        <v>6</v>
      </c>
      <c r="F222">
        <f t="shared" si="17"/>
        <v>36</v>
      </c>
      <c r="G222" s="22">
        <f t="shared" si="18"/>
        <v>0.13636363636363635</v>
      </c>
    </row>
    <row r="223" spans="1:7" ht="15.75" customHeight="1">
      <c r="A223" s="3">
        <v>21772</v>
      </c>
      <c r="B223" s="4">
        <v>48</v>
      </c>
      <c r="C223">
        <f t="shared" si="19"/>
        <v>44</v>
      </c>
      <c r="D223">
        <f t="shared" si="15"/>
        <v>4</v>
      </c>
      <c r="E223">
        <f t="shared" si="16"/>
        <v>4</v>
      </c>
      <c r="F223">
        <f t="shared" si="17"/>
        <v>16</v>
      </c>
      <c r="G223" s="22">
        <f t="shared" si="18"/>
        <v>8.3333333333333329E-2</v>
      </c>
    </row>
    <row r="224" spans="1:7" ht="15.75" customHeight="1">
      <c r="A224" s="3">
        <v>21773</v>
      </c>
      <c r="B224" s="4">
        <v>46</v>
      </c>
      <c r="C224">
        <f t="shared" si="19"/>
        <v>48</v>
      </c>
      <c r="D224">
        <f t="shared" si="15"/>
        <v>-2</v>
      </c>
      <c r="E224">
        <f t="shared" si="16"/>
        <v>2</v>
      </c>
      <c r="F224">
        <f t="shared" si="17"/>
        <v>4</v>
      </c>
      <c r="G224" s="22">
        <f t="shared" si="18"/>
        <v>4.3478260869565216E-2</v>
      </c>
    </row>
    <row r="225" spans="1:7" ht="15.75" customHeight="1">
      <c r="A225" s="3">
        <v>21774</v>
      </c>
      <c r="B225" s="4">
        <v>44</v>
      </c>
      <c r="C225">
        <f t="shared" si="19"/>
        <v>46</v>
      </c>
      <c r="D225">
        <f t="shared" si="15"/>
        <v>-2</v>
      </c>
      <c r="E225">
        <f t="shared" si="16"/>
        <v>2</v>
      </c>
      <c r="F225">
        <f t="shared" si="17"/>
        <v>4</v>
      </c>
      <c r="G225" s="22">
        <f t="shared" si="18"/>
        <v>4.5454545454545456E-2</v>
      </c>
    </row>
    <row r="226" spans="1:7" ht="15.75" customHeight="1">
      <c r="A226" s="3">
        <v>21775</v>
      </c>
      <c r="B226" s="4">
        <v>37</v>
      </c>
      <c r="C226">
        <f t="shared" si="19"/>
        <v>44</v>
      </c>
      <c r="D226">
        <f t="shared" si="15"/>
        <v>-7</v>
      </c>
      <c r="E226">
        <f t="shared" si="16"/>
        <v>7</v>
      </c>
      <c r="F226">
        <f t="shared" si="17"/>
        <v>49</v>
      </c>
      <c r="G226" s="22">
        <f t="shared" si="18"/>
        <v>0.1891891891891892</v>
      </c>
    </row>
    <row r="227" spans="1:7" ht="15.75" customHeight="1">
      <c r="A227" s="3">
        <v>21776</v>
      </c>
      <c r="B227" s="4">
        <v>39</v>
      </c>
      <c r="C227">
        <f t="shared" si="19"/>
        <v>37</v>
      </c>
      <c r="D227">
        <f t="shared" si="15"/>
        <v>2</v>
      </c>
      <c r="E227">
        <f t="shared" si="16"/>
        <v>2</v>
      </c>
      <c r="F227">
        <f t="shared" si="17"/>
        <v>4</v>
      </c>
      <c r="G227" s="22">
        <f t="shared" si="18"/>
        <v>5.128205128205128E-2</v>
      </c>
    </row>
    <row r="228" spans="1:7" ht="15.75" customHeight="1">
      <c r="A228" s="3">
        <v>21777</v>
      </c>
      <c r="B228" s="4">
        <v>44</v>
      </c>
      <c r="C228">
        <f t="shared" si="19"/>
        <v>39</v>
      </c>
      <c r="D228">
        <f t="shared" si="15"/>
        <v>5</v>
      </c>
      <c r="E228">
        <f t="shared" si="16"/>
        <v>5</v>
      </c>
      <c r="F228">
        <f t="shared" si="17"/>
        <v>25</v>
      </c>
      <c r="G228" s="22">
        <f t="shared" si="18"/>
        <v>0.11363636363636363</v>
      </c>
    </row>
    <row r="229" spans="1:7" ht="15.75" customHeight="1">
      <c r="A229" s="3">
        <v>21778</v>
      </c>
      <c r="B229" s="4">
        <v>45</v>
      </c>
      <c r="C229">
        <f t="shared" si="19"/>
        <v>44</v>
      </c>
      <c r="D229">
        <f t="shared" si="15"/>
        <v>1</v>
      </c>
      <c r="E229">
        <f t="shared" si="16"/>
        <v>1</v>
      </c>
      <c r="F229">
        <f t="shared" si="17"/>
        <v>1</v>
      </c>
      <c r="G229" s="22">
        <f t="shared" si="18"/>
        <v>2.2222222222222223E-2</v>
      </c>
    </row>
    <row r="230" spans="1:7" ht="15.75" customHeight="1">
      <c r="A230" s="3">
        <v>21779</v>
      </c>
      <c r="B230" s="4">
        <v>33</v>
      </c>
      <c r="C230">
        <f t="shared" si="19"/>
        <v>45</v>
      </c>
      <c r="D230">
        <f t="shared" si="15"/>
        <v>-12</v>
      </c>
      <c r="E230">
        <f t="shared" si="16"/>
        <v>12</v>
      </c>
      <c r="F230">
        <f t="shared" si="17"/>
        <v>144</v>
      </c>
      <c r="G230" s="22">
        <f t="shared" si="18"/>
        <v>0.36363636363636365</v>
      </c>
    </row>
    <row r="231" spans="1:7" ht="15.75" customHeight="1">
      <c r="A231" s="3">
        <v>21780</v>
      </c>
      <c r="B231" s="4">
        <v>44</v>
      </c>
      <c r="C231">
        <f t="shared" si="19"/>
        <v>33</v>
      </c>
      <c r="D231">
        <f t="shared" si="15"/>
        <v>11</v>
      </c>
      <c r="E231">
        <f t="shared" si="16"/>
        <v>11</v>
      </c>
      <c r="F231">
        <f t="shared" si="17"/>
        <v>121</v>
      </c>
      <c r="G231" s="22">
        <f t="shared" si="18"/>
        <v>0.25</v>
      </c>
    </row>
    <row r="232" spans="1:7" ht="15.75" customHeight="1">
      <c r="A232" s="3">
        <v>21781</v>
      </c>
      <c r="B232" s="4">
        <v>38</v>
      </c>
      <c r="C232">
        <f t="shared" si="19"/>
        <v>44</v>
      </c>
      <c r="D232">
        <f t="shared" si="15"/>
        <v>-6</v>
      </c>
      <c r="E232">
        <f t="shared" si="16"/>
        <v>6</v>
      </c>
      <c r="F232">
        <f t="shared" si="17"/>
        <v>36</v>
      </c>
      <c r="G232" s="22">
        <f t="shared" si="18"/>
        <v>0.15789473684210525</v>
      </c>
    </row>
    <row r="233" spans="1:7" ht="15.75" customHeight="1">
      <c r="A233" s="3">
        <v>21782</v>
      </c>
      <c r="B233" s="4">
        <v>46</v>
      </c>
      <c r="C233">
        <f t="shared" si="19"/>
        <v>38</v>
      </c>
      <c r="D233">
        <f t="shared" si="15"/>
        <v>8</v>
      </c>
      <c r="E233">
        <f t="shared" si="16"/>
        <v>8</v>
      </c>
      <c r="F233">
        <f t="shared" si="17"/>
        <v>64</v>
      </c>
      <c r="G233" s="22">
        <f t="shared" si="18"/>
        <v>0.17391304347826086</v>
      </c>
    </row>
    <row r="234" spans="1:7" ht="15.75" customHeight="1">
      <c r="A234" s="3">
        <v>21783</v>
      </c>
      <c r="B234" s="4">
        <v>46</v>
      </c>
      <c r="C234">
        <f t="shared" si="19"/>
        <v>46</v>
      </c>
      <c r="D234">
        <f t="shared" si="15"/>
        <v>0</v>
      </c>
      <c r="E234">
        <f t="shared" si="16"/>
        <v>0</v>
      </c>
      <c r="F234">
        <f t="shared" si="17"/>
        <v>0</v>
      </c>
      <c r="G234" s="22">
        <f t="shared" si="18"/>
        <v>0</v>
      </c>
    </row>
    <row r="235" spans="1:7" ht="15.75" customHeight="1">
      <c r="A235" s="3">
        <v>21784</v>
      </c>
      <c r="B235" s="4">
        <v>40</v>
      </c>
      <c r="C235">
        <f t="shared" si="19"/>
        <v>46</v>
      </c>
      <c r="D235">
        <f t="shared" si="15"/>
        <v>-6</v>
      </c>
      <c r="E235">
        <f t="shared" si="16"/>
        <v>6</v>
      </c>
      <c r="F235">
        <f t="shared" si="17"/>
        <v>36</v>
      </c>
      <c r="G235" s="22">
        <f t="shared" si="18"/>
        <v>0.15</v>
      </c>
    </row>
    <row r="236" spans="1:7" ht="15.75" customHeight="1">
      <c r="A236" s="3">
        <v>21785</v>
      </c>
      <c r="B236" s="4">
        <v>39</v>
      </c>
      <c r="C236">
        <f t="shared" si="19"/>
        <v>40</v>
      </c>
      <c r="D236">
        <f t="shared" si="15"/>
        <v>-1</v>
      </c>
      <c r="E236">
        <f t="shared" si="16"/>
        <v>1</v>
      </c>
      <c r="F236">
        <f t="shared" si="17"/>
        <v>1</v>
      </c>
      <c r="G236" s="22">
        <f t="shared" si="18"/>
        <v>2.564102564102564E-2</v>
      </c>
    </row>
    <row r="237" spans="1:7" ht="15.75" customHeight="1">
      <c r="A237" s="3">
        <v>21786</v>
      </c>
      <c r="B237" s="4">
        <v>44</v>
      </c>
      <c r="C237">
        <f t="shared" si="19"/>
        <v>39</v>
      </c>
      <c r="D237">
        <f t="shared" si="15"/>
        <v>5</v>
      </c>
      <c r="E237">
        <f t="shared" si="16"/>
        <v>5</v>
      </c>
      <c r="F237">
        <f t="shared" si="17"/>
        <v>25</v>
      </c>
      <c r="G237" s="22">
        <f t="shared" si="18"/>
        <v>0.11363636363636363</v>
      </c>
    </row>
    <row r="238" spans="1:7" ht="15.75" customHeight="1">
      <c r="A238" s="3">
        <v>21787</v>
      </c>
      <c r="B238" s="4">
        <v>48</v>
      </c>
      <c r="C238">
        <f t="shared" si="19"/>
        <v>44</v>
      </c>
      <c r="D238">
        <f t="shared" si="15"/>
        <v>4</v>
      </c>
      <c r="E238">
        <f t="shared" si="16"/>
        <v>4</v>
      </c>
      <c r="F238">
        <f t="shared" si="17"/>
        <v>16</v>
      </c>
      <c r="G238" s="22">
        <f t="shared" si="18"/>
        <v>8.3333333333333329E-2</v>
      </c>
    </row>
    <row r="239" spans="1:7" ht="15.75" customHeight="1">
      <c r="A239" s="3">
        <v>21788</v>
      </c>
      <c r="B239" s="4">
        <v>50</v>
      </c>
      <c r="C239">
        <f t="shared" si="19"/>
        <v>48</v>
      </c>
      <c r="D239">
        <f t="shared" si="15"/>
        <v>2</v>
      </c>
      <c r="E239">
        <f t="shared" si="16"/>
        <v>2</v>
      </c>
      <c r="F239">
        <f t="shared" si="17"/>
        <v>4</v>
      </c>
      <c r="G239" s="22">
        <f t="shared" si="18"/>
        <v>0.04</v>
      </c>
    </row>
    <row r="240" spans="1:7" ht="15.75" customHeight="1">
      <c r="A240" s="3">
        <v>21789</v>
      </c>
      <c r="B240" s="4">
        <v>41</v>
      </c>
      <c r="C240">
        <f t="shared" si="19"/>
        <v>50</v>
      </c>
      <c r="D240">
        <f t="shared" si="15"/>
        <v>-9</v>
      </c>
      <c r="E240">
        <f t="shared" si="16"/>
        <v>9</v>
      </c>
      <c r="F240">
        <f t="shared" si="17"/>
        <v>81</v>
      </c>
      <c r="G240" s="22">
        <f t="shared" si="18"/>
        <v>0.21951219512195122</v>
      </c>
    </row>
    <row r="241" spans="1:7" ht="15.75" customHeight="1">
      <c r="A241" s="3">
        <v>21790</v>
      </c>
      <c r="B241" s="4">
        <v>42</v>
      </c>
      <c r="C241">
        <f t="shared" si="19"/>
        <v>41</v>
      </c>
      <c r="D241">
        <f t="shared" si="15"/>
        <v>1</v>
      </c>
      <c r="E241">
        <f t="shared" si="16"/>
        <v>1</v>
      </c>
      <c r="F241">
        <f t="shared" si="17"/>
        <v>1</v>
      </c>
      <c r="G241" s="22">
        <f t="shared" si="18"/>
        <v>2.3809523809523808E-2</v>
      </c>
    </row>
    <row r="242" spans="1:7" ht="15.75" customHeight="1">
      <c r="A242" s="3">
        <v>21791</v>
      </c>
      <c r="B242" s="4">
        <v>51</v>
      </c>
      <c r="C242">
        <f t="shared" si="19"/>
        <v>42</v>
      </c>
      <c r="D242">
        <f t="shared" si="15"/>
        <v>9</v>
      </c>
      <c r="E242">
        <f t="shared" si="16"/>
        <v>9</v>
      </c>
      <c r="F242">
        <f t="shared" si="17"/>
        <v>81</v>
      </c>
      <c r="G242" s="22">
        <f t="shared" si="18"/>
        <v>0.17647058823529413</v>
      </c>
    </row>
    <row r="243" spans="1:7" ht="15.75" customHeight="1">
      <c r="A243" s="3">
        <v>21792</v>
      </c>
      <c r="B243" s="4">
        <v>41</v>
      </c>
      <c r="C243">
        <f t="shared" si="19"/>
        <v>51</v>
      </c>
      <c r="D243">
        <f t="shared" si="15"/>
        <v>-10</v>
      </c>
      <c r="E243">
        <f t="shared" si="16"/>
        <v>10</v>
      </c>
      <c r="F243">
        <f t="shared" si="17"/>
        <v>100</v>
      </c>
      <c r="G243" s="22">
        <f t="shared" si="18"/>
        <v>0.24390243902439024</v>
      </c>
    </row>
    <row r="244" spans="1:7" ht="15.75" customHeight="1">
      <c r="A244" s="3">
        <v>21793</v>
      </c>
      <c r="B244" s="4">
        <v>44</v>
      </c>
      <c r="C244">
        <f t="shared" si="19"/>
        <v>41</v>
      </c>
      <c r="D244">
        <f t="shared" si="15"/>
        <v>3</v>
      </c>
      <c r="E244">
        <f t="shared" si="16"/>
        <v>3</v>
      </c>
      <c r="F244">
        <f t="shared" si="17"/>
        <v>9</v>
      </c>
      <c r="G244" s="22">
        <f t="shared" si="18"/>
        <v>6.8181818181818177E-2</v>
      </c>
    </row>
    <row r="245" spans="1:7" ht="15.75" customHeight="1">
      <c r="A245" s="3">
        <v>21794</v>
      </c>
      <c r="B245" s="4">
        <v>38</v>
      </c>
      <c r="C245">
        <f t="shared" si="19"/>
        <v>44</v>
      </c>
      <c r="D245">
        <f t="shared" si="15"/>
        <v>-6</v>
      </c>
      <c r="E245">
        <f t="shared" si="16"/>
        <v>6</v>
      </c>
      <c r="F245">
        <f t="shared" si="17"/>
        <v>36</v>
      </c>
      <c r="G245" s="22">
        <f t="shared" si="18"/>
        <v>0.15789473684210525</v>
      </c>
    </row>
    <row r="246" spans="1:7" ht="15.75" customHeight="1">
      <c r="A246" s="3">
        <v>21795</v>
      </c>
      <c r="B246" s="4">
        <v>68</v>
      </c>
      <c r="C246">
        <f t="shared" si="19"/>
        <v>38</v>
      </c>
      <c r="D246">
        <f t="shared" si="15"/>
        <v>30</v>
      </c>
      <c r="E246">
        <f t="shared" si="16"/>
        <v>30</v>
      </c>
      <c r="F246">
        <f t="shared" si="17"/>
        <v>900</v>
      </c>
      <c r="G246" s="22">
        <f t="shared" si="18"/>
        <v>0.44117647058823528</v>
      </c>
    </row>
    <row r="247" spans="1:7" ht="15.75" customHeight="1">
      <c r="A247" s="3">
        <v>21796</v>
      </c>
      <c r="B247" s="4">
        <v>40</v>
      </c>
      <c r="C247">
        <f t="shared" si="19"/>
        <v>68</v>
      </c>
      <c r="D247">
        <f t="shared" si="15"/>
        <v>-28</v>
      </c>
      <c r="E247">
        <f t="shared" si="16"/>
        <v>28</v>
      </c>
      <c r="F247">
        <f t="shared" si="17"/>
        <v>784</v>
      </c>
      <c r="G247" s="22">
        <f t="shared" si="18"/>
        <v>0.7</v>
      </c>
    </row>
    <row r="248" spans="1:7" ht="15.75" customHeight="1">
      <c r="A248" s="3">
        <v>21797</v>
      </c>
      <c r="B248" s="4">
        <v>42</v>
      </c>
      <c r="C248">
        <f t="shared" si="19"/>
        <v>40</v>
      </c>
      <c r="D248">
        <f t="shared" si="15"/>
        <v>2</v>
      </c>
      <c r="E248">
        <f t="shared" si="16"/>
        <v>2</v>
      </c>
      <c r="F248">
        <f t="shared" si="17"/>
        <v>4</v>
      </c>
      <c r="G248" s="22">
        <f t="shared" si="18"/>
        <v>4.7619047619047616E-2</v>
      </c>
    </row>
    <row r="249" spans="1:7" ht="15.75" customHeight="1">
      <c r="A249" s="3">
        <v>21798</v>
      </c>
      <c r="B249" s="4">
        <v>51</v>
      </c>
      <c r="C249">
        <f t="shared" si="19"/>
        <v>42</v>
      </c>
      <c r="D249">
        <f t="shared" si="15"/>
        <v>9</v>
      </c>
      <c r="E249">
        <f t="shared" si="16"/>
        <v>9</v>
      </c>
      <c r="F249">
        <f t="shared" si="17"/>
        <v>81</v>
      </c>
      <c r="G249" s="22">
        <f t="shared" si="18"/>
        <v>0.17647058823529413</v>
      </c>
    </row>
    <row r="250" spans="1:7" ht="15.75" customHeight="1">
      <c r="A250" s="3">
        <v>21799</v>
      </c>
      <c r="B250" s="4">
        <v>44</v>
      </c>
      <c r="C250">
        <f t="shared" si="19"/>
        <v>51</v>
      </c>
      <c r="D250">
        <f t="shared" si="15"/>
        <v>-7</v>
      </c>
      <c r="E250">
        <f t="shared" si="16"/>
        <v>7</v>
      </c>
      <c r="F250">
        <f t="shared" si="17"/>
        <v>49</v>
      </c>
      <c r="G250" s="22">
        <f t="shared" si="18"/>
        <v>0.15909090909090909</v>
      </c>
    </row>
    <row r="251" spans="1:7" ht="15.75" customHeight="1">
      <c r="A251" s="3">
        <v>21800</v>
      </c>
      <c r="B251" s="4">
        <v>45</v>
      </c>
      <c r="C251">
        <f t="shared" si="19"/>
        <v>44</v>
      </c>
      <c r="D251">
        <f t="shared" si="15"/>
        <v>1</v>
      </c>
      <c r="E251">
        <f t="shared" si="16"/>
        <v>1</v>
      </c>
      <c r="F251">
        <f t="shared" si="17"/>
        <v>1</v>
      </c>
      <c r="G251" s="22">
        <f t="shared" si="18"/>
        <v>2.2222222222222223E-2</v>
      </c>
    </row>
    <row r="252" spans="1:7" ht="15.75" customHeight="1">
      <c r="A252" s="3">
        <v>21801</v>
      </c>
      <c r="B252" s="4">
        <v>36</v>
      </c>
      <c r="C252">
        <f t="shared" si="19"/>
        <v>45</v>
      </c>
      <c r="D252">
        <f t="shared" si="15"/>
        <v>-9</v>
      </c>
      <c r="E252">
        <f t="shared" si="16"/>
        <v>9</v>
      </c>
      <c r="F252">
        <f t="shared" si="17"/>
        <v>81</v>
      </c>
      <c r="G252" s="22">
        <f t="shared" si="18"/>
        <v>0.25</v>
      </c>
    </row>
    <row r="253" spans="1:7" ht="15.75" customHeight="1">
      <c r="A253" s="3">
        <v>21802</v>
      </c>
      <c r="B253" s="4">
        <v>57</v>
      </c>
      <c r="C253">
        <f t="shared" si="19"/>
        <v>36</v>
      </c>
      <c r="D253">
        <f t="shared" si="15"/>
        <v>21</v>
      </c>
      <c r="E253">
        <f t="shared" si="16"/>
        <v>21</v>
      </c>
      <c r="F253">
        <f t="shared" si="17"/>
        <v>441</v>
      </c>
      <c r="G253" s="22">
        <f t="shared" si="18"/>
        <v>0.36842105263157893</v>
      </c>
    </row>
    <row r="254" spans="1:7" ht="15.75" customHeight="1">
      <c r="A254" s="3">
        <v>21803</v>
      </c>
      <c r="B254" s="4">
        <v>44</v>
      </c>
      <c r="C254">
        <f t="shared" si="19"/>
        <v>57</v>
      </c>
      <c r="D254">
        <f t="shared" si="15"/>
        <v>-13</v>
      </c>
      <c r="E254">
        <f t="shared" si="16"/>
        <v>13</v>
      </c>
      <c r="F254">
        <f t="shared" si="17"/>
        <v>169</v>
      </c>
      <c r="G254" s="22">
        <f t="shared" si="18"/>
        <v>0.29545454545454547</v>
      </c>
    </row>
    <row r="255" spans="1:7" ht="15.75" customHeight="1">
      <c r="A255" s="3">
        <v>21804</v>
      </c>
      <c r="B255" s="4">
        <v>42</v>
      </c>
      <c r="C255">
        <f t="shared" si="19"/>
        <v>44</v>
      </c>
      <c r="D255">
        <f t="shared" si="15"/>
        <v>-2</v>
      </c>
      <c r="E255">
        <f t="shared" si="16"/>
        <v>2</v>
      </c>
      <c r="F255">
        <f t="shared" si="17"/>
        <v>4</v>
      </c>
      <c r="G255" s="22">
        <f t="shared" si="18"/>
        <v>4.7619047619047616E-2</v>
      </c>
    </row>
    <row r="256" spans="1:7" ht="15.75" customHeight="1">
      <c r="A256" s="3">
        <v>21805</v>
      </c>
      <c r="B256" s="4">
        <v>53</v>
      </c>
      <c r="C256">
        <f t="shared" si="19"/>
        <v>42</v>
      </c>
      <c r="D256">
        <f t="shared" si="15"/>
        <v>11</v>
      </c>
      <c r="E256">
        <f t="shared" si="16"/>
        <v>11</v>
      </c>
      <c r="F256">
        <f t="shared" si="17"/>
        <v>121</v>
      </c>
      <c r="G256" s="22">
        <f t="shared" si="18"/>
        <v>0.20754716981132076</v>
      </c>
    </row>
    <row r="257" spans="1:7" ht="15.75" customHeight="1">
      <c r="A257" s="3">
        <v>21806</v>
      </c>
      <c r="B257" s="4">
        <v>42</v>
      </c>
      <c r="C257">
        <f t="shared" si="19"/>
        <v>53</v>
      </c>
      <c r="D257">
        <f t="shared" si="15"/>
        <v>-11</v>
      </c>
      <c r="E257">
        <f t="shared" si="16"/>
        <v>11</v>
      </c>
      <c r="F257">
        <f t="shared" si="17"/>
        <v>121</v>
      </c>
      <c r="G257" s="22">
        <f t="shared" si="18"/>
        <v>0.26190476190476192</v>
      </c>
    </row>
    <row r="258" spans="1:7" ht="15.75" customHeight="1">
      <c r="A258" s="3">
        <v>21807</v>
      </c>
      <c r="B258" s="4">
        <v>34</v>
      </c>
      <c r="C258">
        <f t="shared" si="19"/>
        <v>42</v>
      </c>
      <c r="D258">
        <f t="shared" si="15"/>
        <v>-8</v>
      </c>
      <c r="E258">
        <f t="shared" si="16"/>
        <v>8</v>
      </c>
      <c r="F258">
        <f t="shared" si="17"/>
        <v>64</v>
      </c>
      <c r="G258" s="22">
        <f t="shared" si="18"/>
        <v>0.23529411764705882</v>
      </c>
    </row>
    <row r="259" spans="1:7" ht="15.75" customHeight="1">
      <c r="A259" s="3">
        <v>21808</v>
      </c>
      <c r="B259" s="4">
        <v>40</v>
      </c>
      <c r="C259">
        <f t="shared" si="19"/>
        <v>34</v>
      </c>
      <c r="D259">
        <f t="shared" si="15"/>
        <v>6</v>
      </c>
      <c r="E259">
        <f t="shared" si="16"/>
        <v>6</v>
      </c>
      <c r="F259">
        <f t="shared" si="17"/>
        <v>36</v>
      </c>
      <c r="G259" s="22">
        <f t="shared" si="18"/>
        <v>0.15</v>
      </c>
    </row>
    <row r="260" spans="1:7" ht="15.75" customHeight="1">
      <c r="A260" s="3">
        <v>21809</v>
      </c>
      <c r="B260" s="4">
        <v>56</v>
      </c>
      <c r="C260">
        <f t="shared" si="19"/>
        <v>40</v>
      </c>
      <c r="D260">
        <f t="shared" ref="D260:D323" si="20">B260-C260</f>
        <v>16</v>
      </c>
      <c r="E260">
        <f t="shared" ref="E260:E323" si="21">ABS(D260)</f>
        <v>16</v>
      </c>
      <c r="F260">
        <f t="shared" ref="F260:F323" si="22">E260^2</f>
        <v>256</v>
      </c>
      <c r="G260" s="22">
        <f t="shared" ref="G260:G323" si="23">E260/B260</f>
        <v>0.2857142857142857</v>
      </c>
    </row>
    <row r="261" spans="1:7" ht="15.75" customHeight="1">
      <c r="A261" s="3">
        <v>21810</v>
      </c>
      <c r="B261" s="4">
        <v>44</v>
      </c>
      <c r="C261">
        <f t="shared" ref="C261:C324" si="24">B260</f>
        <v>56</v>
      </c>
      <c r="D261">
        <f t="shared" si="20"/>
        <v>-12</v>
      </c>
      <c r="E261">
        <f t="shared" si="21"/>
        <v>12</v>
      </c>
      <c r="F261">
        <f t="shared" si="22"/>
        <v>144</v>
      </c>
      <c r="G261" s="22">
        <f t="shared" si="23"/>
        <v>0.27272727272727271</v>
      </c>
    </row>
    <row r="262" spans="1:7" ht="15.75" customHeight="1">
      <c r="A262" s="3">
        <v>21811</v>
      </c>
      <c r="B262" s="4">
        <v>53</v>
      </c>
      <c r="C262">
        <f t="shared" si="24"/>
        <v>44</v>
      </c>
      <c r="D262">
        <f t="shared" si="20"/>
        <v>9</v>
      </c>
      <c r="E262">
        <f t="shared" si="21"/>
        <v>9</v>
      </c>
      <c r="F262">
        <f t="shared" si="22"/>
        <v>81</v>
      </c>
      <c r="G262" s="22">
        <f t="shared" si="23"/>
        <v>0.16981132075471697</v>
      </c>
    </row>
    <row r="263" spans="1:7" ht="15.75" customHeight="1">
      <c r="A263" s="3">
        <v>21812</v>
      </c>
      <c r="B263" s="4">
        <v>55</v>
      </c>
      <c r="C263">
        <f t="shared" si="24"/>
        <v>53</v>
      </c>
      <c r="D263">
        <f t="shared" si="20"/>
        <v>2</v>
      </c>
      <c r="E263">
        <f t="shared" si="21"/>
        <v>2</v>
      </c>
      <c r="F263">
        <f t="shared" si="22"/>
        <v>4</v>
      </c>
      <c r="G263" s="22">
        <f t="shared" si="23"/>
        <v>3.6363636363636362E-2</v>
      </c>
    </row>
    <row r="264" spans="1:7" ht="15.75" customHeight="1">
      <c r="A264" s="3">
        <v>21813</v>
      </c>
      <c r="B264" s="4">
        <v>39</v>
      </c>
      <c r="C264">
        <f t="shared" si="24"/>
        <v>55</v>
      </c>
      <c r="D264">
        <f t="shared" si="20"/>
        <v>-16</v>
      </c>
      <c r="E264">
        <f t="shared" si="21"/>
        <v>16</v>
      </c>
      <c r="F264">
        <f t="shared" si="22"/>
        <v>256</v>
      </c>
      <c r="G264" s="22">
        <f t="shared" si="23"/>
        <v>0.41025641025641024</v>
      </c>
    </row>
    <row r="265" spans="1:7" ht="15.75" customHeight="1">
      <c r="A265" s="3">
        <v>21814</v>
      </c>
      <c r="B265" s="4">
        <v>59</v>
      </c>
      <c r="C265">
        <f t="shared" si="24"/>
        <v>39</v>
      </c>
      <c r="D265">
        <f t="shared" si="20"/>
        <v>20</v>
      </c>
      <c r="E265">
        <f t="shared" si="21"/>
        <v>20</v>
      </c>
      <c r="F265">
        <f t="shared" si="22"/>
        <v>400</v>
      </c>
      <c r="G265" s="22">
        <f t="shared" si="23"/>
        <v>0.33898305084745761</v>
      </c>
    </row>
    <row r="266" spans="1:7" ht="15.75" customHeight="1">
      <c r="A266" s="3">
        <v>21815</v>
      </c>
      <c r="B266" s="4">
        <v>55</v>
      </c>
      <c r="C266">
        <f t="shared" si="24"/>
        <v>59</v>
      </c>
      <c r="D266">
        <f t="shared" si="20"/>
        <v>-4</v>
      </c>
      <c r="E266">
        <f t="shared" si="21"/>
        <v>4</v>
      </c>
      <c r="F266">
        <f t="shared" si="22"/>
        <v>16</v>
      </c>
      <c r="G266" s="22">
        <f t="shared" si="23"/>
        <v>7.2727272727272724E-2</v>
      </c>
    </row>
    <row r="267" spans="1:7" ht="15.75" customHeight="1">
      <c r="A267" s="3">
        <v>21816</v>
      </c>
      <c r="B267" s="4">
        <v>73</v>
      </c>
      <c r="C267">
        <f t="shared" si="24"/>
        <v>55</v>
      </c>
      <c r="D267">
        <f t="shared" si="20"/>
        <v>18</v>
      </c>
      <c r="E267">
        <f t="shared" si="21"/>
        <v>18</v>
      </c>
      <c r="F267">
        <f t="shared" si="22"/>
        <v>324</v>
      </c>
      <c r="G267" s="22">
        <f t="shared" si="23"/>
        <v>0.24657534246575341</v>
      </c>
    </row>
    <row r="268" spans="1:7" ht="15.75" customHeight="1">
      <c r="A268" s="3">
        <v>21817</v>
      </c>
      <c r="B268" s="4">
        <v>55</v>
      </c>
      <c r="C268">
        <f t="shared" si="24"/>
        <v>73</v>
      </c>
      <c r="D268">
        <f t="shared" si="20"/>
        <v>-18</v>
      </c>
      <c r="E268">
        <f t="shared" si="21"/>
        <v>18</v>
      </c>
      <c r="F268">
        <f t="shared" si="22"/>
        <v>324</v>
      </c>
      <c r="G268" s="22">
        <f t="shared" si="23"/>
        <v>0.32727272727272727</v>
      </c>
    </row>
    <row r="269" spans="1:7" ht="15.75" customHeight="1">
      <c r="A269" s="3">
        <v>21818</v>
      </c>
      <c r="B269" s="4">
        <v>44</v>
      </c>
      <c r="C269">
        <f t="shared" si="24"/>
        <v>55</v>
      </c>
      <c r="D269">
        <f t="shared" si="20"/>
        <v>-11</v>
      </c>
      <c r="E269">
        <f t="shared" si="21"/>
        <v>11</v>
      </c>
      <c r="F269">
        <f t="shared" si="22"/>
        <v>121</v>
      </c>
      <c r="G269" s="22">
        <f t="shared" si="23"/>
        <v>0.25</v>
      </c>
    </row>
    <row r="270" spans="1:7" ht="15.75" customHeight="1">
      <c r="A270" s="3">
        <v>21819</v>
      </c>
      <c r="B270" s="4">
        <v>43</v>
      </c>
      <c r="C270">
        <f t="shared" si="24"/>
        <v>44</v>
      </c>
      <c r="D270">
        <f t="shared" si="20"/>
        <v>-1</v>
      </c>
      <c r="E270">
        <f t="shared" si="21"/>
        <v>1</v>
      </c>
      <c r="F270">
        <f t="shared" si="22"/>
        <v>1</v>
      </c>
      <c r="G270" s="22">
        <f t="shared" si="23"/>
        <v>2.3255813953488372E-2</v>
      </c>
    </row>
    <row r="271" spans="1:7" ht="15.75" customHeight="1">
      <c r="A271" s="3">
        <v>21820</v>
      </c>
      <c r="B271" s="4">
        <v>40</v>
      </c>
      <c r="C271">
        <f t="shared" si="24"/>
        <v>43</v>
      </c>
      <c r="D271">
        <f t="shared" si="20"/>
        <v>-3</v>
      </c>
      <c r="E271">
        <f t="shared" si="21"/>
        <v>3</v>
      </c>
      <c r="F271">
        <f t="shared" si="22"/>
        <v>9</v>
      </c>
      <c r="G271" s="22">
        <f t="shared" si="23"/>
        <v>7.4999999999999997E-2</v>
      </c>
    </row>
    <row r="272" spans="1:7" ht="15.75" customHeight="1">
      <c r="A272" s="3">
        <v>21821</v>
      </c>
      <c r="B272" s="4">
        <v>47</v>
      </c>
      <c r="C272">
        <f t="shared" si="24"/>
        <v>40</v>
      </c>
      <c r="D272">
        <f t="shared" si="20"/>
        <v>7</v>
      </c>
      <c r="E272">
        <f t="shared" si="21"/>
        <v>7</v>
      </c>
      <c r="F272">
        <f t="shared" si="22"/>
        <v>49</v>
      </c>
      <c r="G272" s="22">
        <f t="shared" si="23"/>
        <v>0.14893617021276595</v>
      </c>
    </row>
    <row r="273" spans="1:7" ht="15.75" customHeight="1">
      <c r="A273" s="3">
        <v>21822</v>
      </c>
      <c r="B273" s="4">
        <v>51</v>
      </c>
      <c r="C273">
        <f t="shared" si="24"/>
        <v>47</v>
      </c>
      <c r="D273">
        <f t="shared" si="20"/>
        <v>4</v>
      </c>
      <c r="E273">
        <f t="shared" si="21"/>
        <v>4</v>
      </c>
      <c r="F273">
        <f t="shared" si="22"/>
        <v>16</v>
      </c>
      <c r="G273" s="22">
        <f t="shared" si="23"/>
        <v>7.8431372549019607E-2</v>
      </c>
    </row>
    <row r="274" spans="1:7" ht="15.75" customHeight="1">
      <c r="A274" s="3">
        <v>21823</v>
      </c>
      <c r="B274" s="4">
        <v>56</v>
      </c>
      <c r="C274">
        <f t="shared" si="24"/>
        <v>51</v>
      </c>
      <c r="D274">
        <f t="shared" si="20"/>
        <v>5</v>
      </c>
      <c r="E274">
        <f t="shared" si="21"/>
        <v>5</v>
      </c>
      <c r="F274">
        <f t="shared" si="22"/>
        <v>25</v>
      </c>
      <c r="G274" s="22">
        <f t="shared" si="23"/>
        <v>8.9285714285714288E-2</v>
      </c>
    </row>
    <row r="275" spans="1:7" ht="15.75" customHeight="1">
      <c r="A275" s="3">
        <v>21824</v>
      </c>
      <c r="B275" s="4">
        <v>49</v>
      </c>
      <c r="C275">
        <f t="shared" si="24"/>
        <v>56</v>
      </c>
      <c r="D275">
        <f t="shared" si="20"/>
        <v>-7</v>
      </c>
      <c r="E275">
        <f t="shared" si="21"/>
        <v>7</v>
      </c>
      <c r="F275">
        <f t="shared" si="22"/>
        <v>49</v>
      </c>
      <c r="G275" s="22">
        <f t="shared" si="23"/>
        <v>0.14285714285714285</v>
      </c>
    </row>
    <row r="276" spans="1:7" ht="15.75" customHeight="1">
      <c r="A276" s="3">
        <v>21825</v>
      </c>
      <c r="B276" s="4">
        <v>54</v>
      </c>
      <c r="C276">
        <f t="shared" si="24"/>
        <v>49</v>
      </c>
      <c r="D276">
        <f t="shared" si="20"/>
        <v>5</v>
      </c>
      <c r="E276">
        <f t="shared" si="21"/>
        <v>5</v>
      </c>
      <c r="F276">
        <f t="shared" si="22"/>
        <v>25</v>
      </c>
      <c r="G276" s="22">
        <f t="shared" si="23"/>
        <v>9.2592592592592587E-2</v>
      </c>
    </row>
    <row r="277" spans="1:7" ht="15.75" customHeight="1">
      <c r="A277" s="3">
        <v>21826</v>
      </c>
      <c r="B277" s="4">
        <v>56</v>
      </c>
      <c r="C277">
        <f t="shared" si="24"/>
        <v>54</v>
      </c>
      <c r="D277">
        <f t="shared" si="20"/>
        <v>2</v>
      </c>
      <c r="E277">
        <f t="shared" si="21"/>
        <v>2</v>
      </c>
      <c r="F277">
        <f t="shared" si="22"/>
        <v>4</v>
      </c>
      <c r="G277" s="22">
        <f t="shared" si="23"/>
        <v>3.5714285714285712E-2</v>
      </c>
    </row>
    <row r="278" spans="1:7" ht="15.75" customHeight="1">
      <c r="A278" s="3">
        <v>21827</v>
      </c>
      <c r="B278" s="4">
        <v>47</v>
      </c>
      <c r="C278">
        <f t="shared" si="24"/>
        <v>56</v>
      </c>
      <c r="D278">
        <f t="shared" si="20"/>
        <v>-9</v>
      </c>
      <c r="E278">
        <f t="shared" si="21"/>
        <v>9</v>
      </c>
      <c r="F278">
        <f t="shared" si="22"/>
        <v>81</v>
      </c>
      <c r="G278" s="22">
        <f t="shared" si="23"/>
        <v>0.19148936170212766</v>
      </c>
    </row>
    <row r="279" spans="1:7" ht="15.75" customHeight="1">
      <c r="A279" s="3">
        <v>21828</v>
      </c>
      <c r="B279" s="4">
        <v>44</v>
      </c>
      <c r="C279">
        <f t="shared" si="24"/>
        <v>47</v>
      </c>
      <c r="D279">
        <f t="shared" si="20"/>
        <v>-3</v>
      </c>
      <c r="E279">
        <f t="shared" si="21"/>
        <v>3</v>
      </c>
      <c r="F279">
        <f t="shared" si="22"/>
        <v>9</v>
      </c>
      <c r="G279" s="22">
        <f t="shared" si="23"/>
        <v>6.8181818181818177E-2</v>
      </c>
    </row>
    <row r="280" spans="1:7" ht="15.75" customHeight="1">
      <c r="A280" s="3">
        <v>21829</v>
      </c>
      <c r="B280" s="4">
        <v>43</v>
      </c>
      <c r="C280">
        <f t="shared" si="24"/>
        <v>44</v>
      </c>
      <c r="D280">
        <f t="shared" si="20"/>
        <v>-1</v>
      </c>
      <c r="E280">
        <f t="shared" si="21"/>
        <v>1</v>
      </c>
      <c r="F280">
        <f t="shared" si="22"/>
        <v>1</v>
      </c>
      <c r="G280" s="22">
        <f t="shared" si="23"/>
        <v>2.3255813953488372E-2</v>
      </c>
    </row>
    <row r="281" spans="1:7" ht="15.75" customHeight="1">
      <c r="A281" s="3">
        <v>21830</v>
      </c>
      <c r="B281" s="4">
        <v>42</v>
      </c>
      <c r="C281">
        <f t="shared" si="24"/>
        <v>43</v>
      </c>
      <c r="D281">
        <f t="shared" si="20"/>
        <v>-1</v>
      </c>
      <c r="E281">
        <f t="shared" si="21"/>
        <v>1</v>
      </c>
      <c r="F281">
        <f t="shared" si="22"/>
        <v>1</v>
      </c>
      <c r="G281" s="22">
        <f t="shared" si="23"/>
        <v>2.3809523809523808E-2</v>
      </c>
    </row>
    <row r="282" spans="1:7" ht="15.75" customHeight="1">
      <c r="A282" s="3">
        <v>21831</v>
      </c>
      <c r="B282" s="4">
        <v>45</v>
      </c>
      <c r="C282">
        <f t="shared" si="24"/>
        <v>42</v>
      </c>
      <c r="D282">
        <f t="shared" si="20"/>
        <v>3</v>
      </c>
      <c r="E282">
        <f t="shared" si="21"/>
        <v>3</v>
      </c>
      <c r="F282">
        <f t="shared" si="22"/>
        <v>9</v>
      </c>
      <c r="G282" s="22">
        <f t="shared" si="23"/>
        <v>6.6666666666666666E-2</v>
      </c>
    </row>
    <row r="283" spans="1:7" ht="15.75" customHeight="1">
      <c r="A283" s="3">
        <v>21832</v>
      </c>
      <c r="B283" s="4">
        <v>50</v>
      </c>
      <c r="C283">
        <f t="shared" si="24"/>
        <v>45</v>
      </c>
      <c r="D283">
        <f t="shared" si="20"/>
        <v>5</v>
      </c>
      <c r="E283">
        <f t="shared" si="21"/>
        <v>5</v>
      </c>
      <c r="F283">
        <f t="shared" si="22"/>
        <v>25</v>
      </c>
      <c r="G283" s="22">
        <f t="shared" si="23"/>
        <v>0.1</v>
      </c>
    </row>
    <row r="284" spans="1:7" ht="15.75" customHeight="1">
      <c r="A284" s="3">
        <v>21833</v>
      </c>
      <c r="B284" s="4">
        <v>48</v>
      </c>
      <c r="C284">
        <f t="shared" si="24"/>
        <v>50</v>
      </c>
      <c r="D284">
        <f t="shared" si="20"/>
        <v>-2</v>
      </c>
      <c r="E284">
        <f t="shared" si="21"/>
        <v>2</v>
      </c>
      <c r="F284">
        <f t="shared" si="22"/>
        <v>4</v>
      </c>
      <c r="G284" s="22">
        <f t="shared" si="23"/>
        <v>4.1666666666666664E-2</v>
      </c>
    </row>
    <row r="285" spans="1:7" ht="15.75" customHeight="1">
      <c r="A285" s="3">
        <v>21834</v>
      </c>
      <c r="B285" s="4">
        <v>43</v>
      </c>
      <c r="C285">
        <f t="shared" si="24"/>
        <v>48</v>
      </c>
      <c r="D285">
        <f t="shared" si="20"/>
        <v>-5</v>
      </c>
      <c r="E285">
        <f t="shared" si="21"/>
        <v>5</v>
      </c>
      <c r="F285">
        <f t="shared" si="22"/>
        <v>25</v>
      </c>
      <c r="G285" s="22">
        <f t="shared" si="23"/>
        <v>0.11627906976744186</v>
      </c>
    </row>
    <row r="286" spans="1:7" ht="15.75" customHeight="1">
      <c r="A286" s="3">
        <v>21835</v>
      </c>
      <c r="B286" s="4">
        <v>40</v>
      </c>
      <c r="C286">
        <f t="shared" si="24"/>
        <v>43</v>
      </c>
      <c r="D286">
        <f t="shared" si="20"/>
        <v>-3</v>
      </c>
      <c r="E286">
        <f t="shared" si="21"/>
        <v>3</v>
      </c>
      <c r="F286">
        <f t="shared" si="22"/>
        <v>9</v>
      </c>
      <c r="G286" s="22">
        <f t="shared" si="23"/>
        <v>7.4999999999999997E-2</v>
      </c>
    </row>
    <row r="287" spans="1:7" ht="15.75" customHeight="1">
      <c r="A287" s="3">
        <v>21836</v>
      </c>
      <c r="B287" s="4">
        <v>59</v>
      </c>
      <c r="C287">
        <f t="shared" si="24"/>
        <v>40</v>
      </c>
      <c r="D287">
        <f t="shared" si="20"/>
        <v>19</v>
      </c>
      <c r="E287">
        <f t="shared" si="21"/>
        <v>19</v>
      </c>
      <c r="F287">
        <f t="shared" si="22"/>
        <v>361</v>
      </c>
      <c r="G287" s="22">
        <f t="shared" si="23"/>
        <v>0.32203389830508472</v>
      </c>
    </row>
    <row r="288" spans="1:7" ht="15.75" customHeight="1">
      <c r="A288" s="3">
        <v>21837</v>
      </c>
      <c r="B288" s="4">
        <v>41</v>
      </c>
      <c r="C288">
        <f t="shared" si="24"/>
        <v>59</v>
      </c>
      <c r="D288">
        <f t="shared" si="20"/>
        <v>-18</v>
      </c>
      <c r="E288">
        <f t="shared" si="21"/>
        <v>18</v>
      </c>
      <c r="F288">
        <f t="shared" si="22"/>
        <v>324</v>
      </c>
      <c r="G288" s="22">
        <f t="shared" si="23"/>
        <v>0.43902439024390244</v>
      </c>
    </row>
    <row r="289" spans="1:7" ht="15.75" customHeight="1">
      <c r="A289" s="3">
        <v>21838</v>
      </c>
      <c r="B289" s="4">
        <v>42</v>
      </c>
      <c r="C289">
        <f t="shared" si="24"/>
        <v>41</v>
      </c>
      <c r="D289">
        <f t="shared" si="20"/>
        <v>1</v>
      </c>
      <c r="E289">
        <f t="shared" si="21"/>
        <v>1</v>
      </c>
      <c r="F289">
        <f t="shared" si="22"/>
        <v>1</v>
      </c>
      <c r="G289" s="22">
        <f t="shared" si="23"/>
        <v>2.3809523809523808E-2</v>
      </c>
    </row>
    <row r="290" spans="1:7" ht="15.75" customHeight="1">
      <c r="A290" s="3">
        <v>21839</v>
      </c>
      <c r="B290" s="4">
        <v>51</v>
      </c>
      <c r="C290">
        <f t="shared" si="24"/>
        <v>42</v>
      </c>
      <c r="D290">
        <f t="shared" si="20"/>
        <v>9</v>
      </c>
      <c r="E290">
        <f t="shared" si="21"/>
        <v>9</v>
      </c>
      <c r="F290">
        <f t="shared" si="22"/>
        <v>81</v>
      </c>
      <c r="G290" s="22">
        <f t="shared" si="23"/>
        <v>0.17647058823529413</v>
      </c>
    </row>
    <row r="291" spans="1:7" ht="15.75" customHeight="1">
      <c r="A291" s="3">
        <v>21840</v>
      </c>
      <c r="B291" s="4">
        <v>49</v>
      </c>
      <c r="C291">
        <f t="shared" si="24"/>
        <v>51</v>
      </c>
      <c r="D291">
        <f t="shared" si="20"/>
        <v>-2</v>
      </c>
      <c r="E291">
        <f t="shared" si="21"/>
        <v>2</v>
      </c>
      <c r="F291">
        <f t="shared" si="22"/>
        <v>4</v>
      </c>
      <c r="G291" s="22">
        <f t="shared" si="23"/>
        <v>4.0816326530612242E-2</v>
      </c>
    </row>
    <row r="292" spans="1:7" ht="15.75" customHeight="1">
      <c r="A292" s="3">
        <v>21841</v>
      </c>
      <c r="B292" s="4">
        <v>45</v>
      </c>
      <c r="C292">
        <f t="shared" si="24"/>
        <v>49</v>
      </c>
      <c r="D292">
        <f t="shared" si="20"/>
        <v>-4</v>
      </c>
      <c r="E292">
        <f t="shared" si="21"/>
        <v>4</v>
      </c>
      <c r="F292">
        <f t="shared" si="22"/>
        <v>16</v>
      </c>
      <c r="G292" s="22">
        <f t="shared" si="23"/>
        <v>8.8888888888888892E-2</v>
      </c>
    </row>
    <row r="293" spans="1:7" ht="15.75" customHeight="1">
      <c r="A293" s="3">
        <v>21842</v>
      </c>
      <c r="B293" s="4">
        <v>43</v>
      </c>
      <c r="C293">
        <f t="shared" si="24"/>
        <v>45</v>
      </c>
      <c r="D293">
        <f t="shared" si="20"/>
        <v>-2</v>
      </c>
      <c r="E293">
        <f t="shared" si="21"/>
        <v>2</v>
      </c>
      <c r="F293">
        <f t="shared" si="22"/>
        <v>4</v>
      </c>
      <c r="G293" s="22">
        <f t="shared" si="23"/>
        <v>4.6511627906976744E-2</v>
      </c>
    </row>
    <row r="294" spans="1:7" ht="15.75" customHeight="1">
      <c r="A294" s="3">
        <v>21843</v>
      </c>
      <c r="B294" s="4">
        <v>42</v>
      </c>
      <c r="C294">
        <f t="shared" si="24"/>
        <v>43</v>
      </c>
      <c r="D294">
        <f t="shared" si="20"/>
        <v>-1</v>
      </c>
      <c r="E294">
        <f t="shared" si="21"/>
        <v>1</v>
      </c>
      <c r="F294">
        <f t="shared" si="22"/>
        <v>1</v>
      </c>
      <c r="G294" s="22">
        <f t="shared" si="23"/>
        <v>2.3809523809523808E-2</v>
      </c>
    </row>
    <row r="295" spans="1:7" ht="15.75" customHeight="1">
      <c r="A295" s="3">
        <v>21844</v>
      </c>
      <c r="B295" s="4">
        <v>38</v>
      </c>
      <c r="C295">
        <f t="shared" si="24"/>
        <v>42</v>
      </c>
      <c r="D295">
        <f t="shared" si="20"/>
        <v>-4</v>
      </c>
      <c r="E295">
        <f t="shared" si="21"/>
        <v>4</v>
      </c>
      <c r="F295">
        <f t="shared" si="22"/>
        <v>16</v>
      </c>
      <c r="G295" s="22">
        <f t="shared" si="23"/>
        <v>0.10526315789473684</v>
      </c>
    </row>
    <row r="296" spans="1:7" ht="15.75" customHeight="1">
      <c r="A296" s="3">
        <v>21845</v>
      </c>
      <c r="B296" s="4">
        <v>47</v>
      </c>
      <c r="C296">
        <f t="shared" si="24"/>
        <v>38</v>
      </c>
      <c r="D296">
        <f t="shared" si="20"/>
        <v>9</v>
      </c>
      <c r="E296">
        <f t="shared" si="21"/>
        <v>9</v>
      </c>
      <c r="F296">
        <f t="shared" si="22"/>
        <v>81</v>
      </c>
      <c r="G296" s="22">
        <f t="shared" si="23"/>
        <v>0.19148936170212766</v>
      </c>
    </row>
    <row r="297" spans="1:7" ht="15.75" customHeight="1">
      <c r="A297" s="3">
        <v>21846</v>
      </c>
      <c r="B297" s="4">
        <v>38</v>
      </c>
      <c r="C297">
        <f t="shared" si="24"/>
        <v>47</v>
      </c>
      <c r="D297">
        <f t="shared" si="20"/>
        <v>-9</v>
      </c>
      <c r="E297">
        <f t="shared" si="21"/>
        <v>9</v>
      </c>
      <c r="F297">
        <f t="shared" si="22"/>
        <v>81</v>
      </c>
      <c r="G297" s="22">
        <f t="shared" si="23"/>
        <v>0.23684210526315788</v>
      </c>
    </row>
    <row r="298" spans="1:7" ht="15.75" customHeight="1">
      <c r="A298" s="3">
        <v>21847</v>
      </c>
      <c r="B298" s="4">
        <v>36</v>
      </c>
      <c r="C298">
        <f t="shared" si="24"/>
        <v>38</v>
      </c>
      <c r="D298">
        <f t="shared" si="20"/>
        <v>-2</v>
      </c>
      <c r="E298">
        <f t="shared" si="21"/>
        <v>2</v>
      </c>
      <c r="F298">
        <f t="shared" si="22"/>
        <v>4</v>
      </c>
      <c r="G298" s="22">
        <f t="shared" si="23"/>
        <v>5.5555555555555552E-2</v>
      </c>
    </row>
    <row r="299" spans="1:7" ht="15.75" customHeight="1">
      <c r="A299" s="3">
        <v>21848</v>
      </c>
      <c r="B299" s="4">
        <v>42</v>
      </c>
      <c r="C299">
        <f t="shared" si="24"/>
        <v>36</v>
      </c>
      <c r="D299">
        <f t="shared" si="20"/>
        <v>6</v>
      </c>
      <c r="E299">
        <f t="shared" si="21"/>
        <v>6</v>
      </c>
      <c r="F299">
        <f t="shared" si="22"/>
        <v>36</v>
      </c>
      <c r="G299" s="22">
        <f t="shared" si="23"/>
        <v>0.14285714285714285</v>
      </c>
    </row>
    <row r="300" spans="1:7" ht="15.75" customHeight="1">
      <c r="A300" s="3">
        <v>21849</v>
      </c>
      <c r="B300" s="4">
        <v>35</v>
      </c>
      <c r="C300">
        <f t="shared" si="24"/>
        <v>42</v>
      </c>
      <c r="D300">
        <f t="shared" si="20"/>
        <v>-7</v>
      </c>
      <c r="E300">
        <f t="shared" si="21"/>
        <v>7</v>
      </c>
      <c r="F300">
        <f t="shared" si="22"/>
        <v>49</v>
      </c>
      <c r="G300" s="22">
        <f t="shared" si="23"/>
        <v>0.2</v>
      </c>
    </row>
    <row r="301" spans="1:7" ht="15.75" customHeight="1">
      <c r="A301" s="3">
        <v>21850</v>
      </c>
      <c r="B301" s="4">
        <v>28</v>
      </c>
      <c r="C301">
        <f t="shared" si="24"/>
        <v>35</v>
      </c>
      <c r="D301">
        <f t="shared" si="20"/>
        <v>-7</v>
      </c>
      <c r="E301">
        <f t="shared" si="21"/>
        <v>7</v>
      </c>
      <c r="F301">
        <f t="shared" si="22"/>
        <v>49</v>
      </c>
      <c r="G301" s="22">
        <f t="shared" si="23"/>
        <v>0.25</v>
      </c>
    </row>
    <row r="302" spans="1:7" ht="15.75" customHeight="1">
      <c r="A302" s="3">
        <v>21851</v>
      </c>
      <c r="B302" s="4">
        <v>44</v>
      </c>
      <c r="C302">
        <f t="shared" si="24"/>
        <v>28</v>
      </c>
      <c r="D302">
        <f t="shared" si="20"/>
        <v>16</v>
      </c>
      <c r="E302">
        <f t="shared" si="21"/>
        <v>16</v>
      </c>
      <c r="F302">
        <f t="shared" si="22"/>
        <v>256</v>
      </c>
      <c r="G302" s="22">
        <f t="shared" si="23"/>
        <v>0.36363636363636365</v>
      </c>
    </row>
    <row r="303" spans="1:7" ht="15.75" customHeight="1">
      <c r="A303" s="3">
        <v>21852</v>
      </c>
      <c r="B303" s="4">
        <v>36</v>
      </c>
      <c r="C303">
        <f t="shared" si="24"/>
        <v>44</v>
      </c>
      <c r="D303">
        <f t="shared" si="20"/>
        <v>-8</v>
      </c>
      <c r="E303">
        <f t="shared" si="21"/>
        <v>8</v>
      </c>
      <c r="F303">
        <f t="shared" si="22"/>
        <v>64</v>
      </c>
      <c r="G303" s="22">
        <f t="shared" si="23"/>
        <v>0.22222222222222221</v>
      </c>
    </row>
    <row r="304" spans="1:7" ht="15.75" customHeight="1">
      <c r="A304" s="3">
        <v>21853</v>
      </c>
      <c r="B304" s="4">
        <v>45</v>
      </c>
      <c r="C304">
        <f t="shared" si="24"/>
        <v>36</v>
      </c>
      <c r="D304">
        <f t="shared" si="20"/>
        <v>9</v>
      </c>
      <c r="E304">
        <f t="shared" si="21"/>
        <v>9</v>
      </c>
      <c r="F304">
        <f t="shared" si="22"/>
        <v>81</v>
      </c>
      <c r="G304" s="22">
        <f t="shared" si="23"/>
        <v>0.2</v>
      </c>
    </row>
    <row r="305" spans="1:7" ht="15.75" customHeight="1">
      <c r="A305" s="3">
        <v>21854</v>
      </c>
      <c r="B305" s="4">
        <v>46</v>
      </c>
      <c r="C305">
        <f t="shared" si="24"/>
        <v>45</v>
      </c>
      <c r="D305">
        <f t="shared" si="20"/>
        <v>1</v>
      </c>
      <c r="E305">
        <f t="shared" si="21"/>
        <v>1</v>
      </c>
      <c r="F305">
        <f t="shared" si="22"/>
        <v>1</v>
      </c>
      <c r="G305" s="22">
        <f t="shared" si="23"/>
        <v>2.1739130434782608E-2</v>
      </c>
    </row>
    <row r="306" spans="1:7" ht="15.75" customHeight="1">
      <c r="A306" s="3">
        <v>21855</v>
      </c>
      <c r="B306" s="4">
        <v>48</v>
      </c>
      <c r="C306">
        <f t="shared" si="24"/>
        <v>46</v>
      </c>
      <c r="D306">
        <f t="shared" si="20"/>
        <v>2</v>
      </c>
      <c r="E306">
        <f t="shared" si="21"/>
        <v>2</v>
      </c>
      <c r="F306">
        <f t="shared" si="22"/>
        <v>4</v>
      </c>
      <c r="G306" s="22">
        <f t="shared" si="23"/>
        <v>4.1666666666666664E-2</v>
      </c>
    </row>
    <row r="307" spans="1:7" ht="15.75" customHeight="1">
      <c r="A307" s="3">
        <v>21856</v>
      </c>
      <c r="B307" s="4">
        <v>49</v>
      </c>
      <c r="C307">
        <f t="shared" si="24"/>
        <v>48</v>
      </c>
      <c r="D307">
        <f t="shared" si="20"/>
        <v>1</v>
      </c>
      <c r="E307">
        <f t="shared" si="21"/>
        <v>1</v>
      </c>
      <c r="F307">
        <f t="shared" si="22"/>
        <v>1</v>
      </c>
      <c r="G307" s="22">
        <f t="shared" si="23"/>
        <v>2.0408163265306121E-2</v>
      </c>
    </row>
    <row r="308" spans="1:7" ht="15.75" customHeight="1">
      <c r="A308" s="3">
        <v>21857</v>
      </c>
      <c r="B308" s="4">
        <v>43</v>
      </c>
      <c r="C308">
        <f t="shared" si="24"/>
        <v>49</v>
      </c>
      <c r="D308">
        <f t="shared" si="20"/>
        <v>-6</v>
      </c>
      <c r="E308">
        <f t="shared" si="21"/>
        <v>6</v>
      </c>
      <c r="F308">
        <f t="shared" si="22"/>
        <v>36</v>
      </c>
      <c r="G308" s="22">
        <f t="shared" si="23"/>
        <v>0.13953488372093023</v>
      </c>
    </row>
    <row r="309" spans="1:7" ht="15.75" customHeight="1">
      <c r="A309" s="3">
        <v>21858</v>
      </c>
      <c r="B309" s="4">
        <v>42</v>
      </c>
      <c r="C309">
        <f t="shared" si="24"/>
        <v>43</v>
      </c>
      <c r="D309">
        <f t="shared" si="20"/>
        <v>-1</v>
      </c>
      <c r="E309">
        <f t="shared" si="21"/>
        <v>1</v>
      </c>
      <c r="F309">
        <f t="shared" si="22"/>
        <v>1</v>
      </c>
      <c r="G309" s="22">
        <f t="shared" si="23"/>
        <v>2.3809523809523808E-2</v>
      </c>
    </row>
    <row r="310" spans="1:7" ht="15.75" customHeight="1">
      <c r="A310" s="3">
        <v>21859</v>
      </c>
      <c r="B310" s="4">
        <v>59</v>
      </c>
      <c r="C310">
        <f t="shared" si="24"/>
        <v>42</v>
      </c>
      <c r="D310">
        <f t="shared" si="20"/>
        <v>17</v>
      </c>
      <c r="E310">
        <f t="shared" si="21"/>
        <v>17</v>
      </c>
      <c r="F310">
        <f t="shared" si="22"/>
        <v>289</v>
      </c>
      <c r="G310" s="22">
        <f t="shared" si="23"/>
        <v>0.28813559322033899</v>
      </c>
    </row>
    <row r="311" spans="1:7" ht="15.75" customHeight="1">
      <c r="A311" s="3">
        <v>21860</v>
      </c>
      <c r="B311" s="4">
        <v>45</v>
      </c>
      <c r="C311">
        <f t="shared" si="24"/>
        <v>59</v>
      </c>
      <c r="D311">
        <f t="shared" si="20"/>
        <v>-14</v>
      </c>
      <c r="E311">
        <f t="shared" si="21"/>
        <v>14</v>
      </c>
      <c r="F311">
        <f t="shared" si="22"/>
        <v>196</v>
      </c>
      <c r="G311" s="22">
        <f t="shared" si="23"/>
        <v>0.31111111111111112</v>
      </c>
    </row>
    <row r="312" spans="1:7" ht="15.75" customHeight="1">
      <c r="A312" s="3">
        <v>21861</v>
      </c>
      <c r="B312" s="4">
        <v>52</v>
      </c>
      <c r="C312">
        <f t="shared" si="24"/>
        <v>45</v>
      </c>
      <c r="D312">
        <f t="shared" si="20"/>
        <v>7</v>
      </c>
      <c r="E312">
        <f t="shared" si="21"/>
        <v>7</v>
      </c>
      <c r="F312">
        <f t="shared" si="22"/>
        <v>49</v>
      </c>
      <c r="G312" s="22">
        <f t="shared" si="23"/>
        <v>0.13461538461538461</v>
      </c>
    </row>
    <row r="313" spans="1:7" ht="15.75" customHeight="1">
      <c r="A313" s="3">
        <v>21862</v>
      </c>
      <c r="B313" s="4">
        <v>46</v>
      </c>
      <c r="C313">
        <f t="shared" si="24"/>
        <v>52</v>
      </c>
      <c r="D313">
        <f t="shared" si="20"/>
        <v>-6</v>
      </c>
      <c r="E313">
        <f t="shared" si="21"/>
        <v>6</v>
      </c>
      <c r="F313">
        <f t="shared" si="22"/>
        <v>36</v>
      </c>
      <c r="G313" s="22">
        <f t="shared" si="23"/>
        <v>0.13043478260869565</v>
      </c>
    </row>
    <row r="314" spans="1:7" ht="15.75" customHeight="1">
      <c r="A314" s="3">
        <v>21863</v>
      </c>
      <c r="B314" s="4">
        <v>42</v>
      </c>
      <c r="C314">
        <f t="shared" si="24"/>
        <v>46</v>
      </c>
      <c r="D314">
        <f t="shared" si="20"/>
        <v>-4</v>
      </c>
      <c r="E314">
        <f t="shared" si="21"/>
        <v>4</v>
      </c>
      <c r="F314">
        <f t="shared" si="22"/>
        <v>16</v>
      </c>
      <c r="G314" s="22">
        <f t="shared" si="23"/>
        <v>9.5238095238095233E-2</v>
      </c>
    </row>
    <row r="315" spans="1:7" ht="15.75" customHeight="1">
      <c r="A315" s="3">
        <v>21864</v>
      </c>
      <c r="B315" s="4">
        <v>40</v>
      </c>
      <c r="C315">
        <f t="shared" si="24"/>
        <v>42</v>
      </c>
      <c r="D315">
        <f t="shared" si="20"/>
        <v>-2</v>
      </c>
      <c r="E315">
        <f t="shared" si="21"/>
        <v>2</v>
      </c>
      <c r="F315">
        <f t="shared" si="22"/>
        <v>4</v>
      </c>
      <c r="G315" s="22">
        <f t="shared" si="23"/>
        <v>0.05</v>
      </c>
    </row>
    <row r="316" spans="1:7" ht="15.75" customHeight="1">
      <c r="A316" s="3">
        <v>21865</v>
      </c>
      <c r="B316" s="4">
        <v>40</v>
      </c>
      <c r="C316">
        <f t="shared" si="24"/>
        <v>40</v>
      </c>
      <c r="D316">
        <f t="shared" si="20"/>
        <v>0</v>
      </c>
      <c r="E316">
        <f t="shared" si="21"/>
        <v>0</v>
      </c>
      <c r="F316">
        <f t="shared" si="22"/>
        <v>0</v>
      </c>
      <c r="G316" s="22">
        <f t="shared" si="23"/>
        <v>0</v>
      </c>
    </row>
    <row r="317" spans="1:7" ht="15.75" customHeight="1">
      <c r="A317" s="3">
        <v>21866</v>
      </c>
      <c r="B317" s="4">
        <v>45</v>
      </c>
      <c r="C317">
        <f t="shared" si="24"/>
        <v>40</v>
      </c>
      <c r="D317">
        <f t="shared" si="20"/>
        <v>5</v>
      </c>
      <c r="E317">
        <f t="shared" si="21"/>
        <v>5</v>
      </c>
      <c r="F317">
        <f t="shared" si="22"/>
        <v>25</v>
      </c>
      <c r="G317" s="22">
        <f t="shared" si="23"/>
        <v>0.1111111111111111</v>
      </c>
    </row>
    <row r="318" spans="1:7" ht="15.75" customHeight="1">
      <c r="A318" s="3">
        <v>21867</v>
      </c>
      <c r="B318" s="4">
        <v>35</v>
      </c>
      <c r="C318">
        <f t="shared" si="24"/>
        <v>45</v>
      </c>
      <c r="D318">
        <f t="shared" si="20"/>
        <v>-10</v>
      </c>
      <c r="E318">
        <f t="shared" si="21"/>
        <v>10</v>
      </c>
      <c r="F318">
        <f t="shared" si="22"/>
        <v>100</v>
      </c>
      <c r="G318" s="22">
        <f t="shared" si="23"/>
        <v>0.2857142857142857</v>
      </c>
    </row>
    <row r="319" spans="1:7" ht="15.75" customHeight="1">
      <c r="A319" s="3">
        <v>21868</v>
      </c>
      <c r="B319" s="4">
        <v>35</v>
      </c>
      <c r="C319">
        <f t="shared" si="24"/>
        <v>35</v>
      </c>
      <c r="D319">
        <f t="shared" si="20"/>
        <v>0</v>
      </c>
      <c r="E319">
        <f t="shared" si="21"/>
        <v>0</v>
      </c>
      <c r="F319">
        <f t="shared" si="22"/>
        <v>0</v>
      </c>
      <c r="G319" s="22">
        <f t="shared" si="23"/>
        <v>0</v>
      </c>
    </row>
    <row r="320" spans="1:7" ht="15.75" customHeight="1">
      <c r="A320" s="3">
        <v>21869</v>
      </c>
      <c r="B320" s="4">
        <v>40</v>
      </c>
      <c r="C320">
        <f t="shared" si="24"/>
        <v>35</v>
      </c>
      <c r="D320">
        <f t="shared" si="20"/>
        <v>5</v>
      </c>
      <c r="E320">
        <f t="shared" si="21"/>
        <v>5</v>
      </c>
      <c r="F320">
        <f t="shared" si="22"/>
        <v>25</v>
      </c>
      <c r="G320" s="22">
        <f t="shared" si="23"/>
        <v>0.125</v>
      </c>
    </row>
    <row r="321" spans="1:7" ht="15.75" customHeight="1">
      <c r="A321" s="3">
        <v>21870</v>
      </c>
      <c r="B321" s="4">
        <v>39</v>
      </c>
      <c r="C321">
        <f t="shared" si="24"/>
        <v>40</v>
      </c>
      <c r="D321">
        <f t="shared" si="20"/>
        <v>-1</v>
      </c>
      <c r="E321">
        <f t="shared" si="21"/>
        <v>1</v>
      </c>
      <c r="F321">
        <f t="shared" si="22"/>
        <v>1</v>
      </c>
      <c r="G321" s="22">
        <f t="shared" si="23"/>
        <v>2.564102564102564E-2</v>
      </c>
    </row>
    <row r="322" spans="1:7" ht="15.75" customHeight="1">
      <c r="A322" s="3">
        <v>21871</v>
      </c>
      <c r="B322" s="4">
        <v>33</v>
      </c>
      <c r="C322">
        <f t="shared" si="24"/>
        <v>39</v>
      </c>
      <c r="D322">
        <f t="shared" si="20"/>
        <v>-6</v>
      </c>
      <c r="E322">
        <f t="shared" si="21"/>
        <v>6</v>
      </c>
      <c r="F322">
        <f t="shared" si="22"/>
        <v>36</v>
      </c>
      <c r="G322" s="22">
        <f t="shared" si="23"/>
        <v>0.18181818181818182</v>
      </c>
    </row>
    <row r="323" spans="1:7" ht="15.75" customHeight="1">
      <c r="A323" s="3">
        <v>21872</v>
      </c>
      <c r="B323" s="4">
        <v>42</v>
      </c>
      <c r="C323">
        <f t="shared" si="24"/>
        <v>33</v>
      </c>
      <c r="D323">
        <f t="shared" si="20"/>
        <v>9</v>
      </c>
      <c r="E323">
        <f t="shared" si="21"/>
        <v>9</v>
      </c>
      <c r="F323">
        <f t="shared" si="22"/>
        <v>81</v>
      </c>
      <c r="G323" s="22">
        <f t="shared" si="23"/>
        <v>0.21428571428571427</v>
      </c>
    </row>
    <row r="324" spans="1:7" ht="15.75" customHeight="1">
      <c r="A324" s="3">
        <v>21873</v>
      </c>
      <c r="B324" s="4">
        <v>47</v>
      </c>
      <c r="C324">
        <f t="shared" si="24"/>
        <v>42</v>
      </c>
      <c r="D324">
        <f t="shared" ref="D324:D366" si="25">B324-C324</f>
        <v>5</v>
      </c>
      <c r="E324">
        <f t="shared" ref="E324:E366" si="26">ABS(D324)</f>
        <v>5</v>
      </c>
      <c r="F324">
        <f t="shared" ref="F324:F366" si="27">E324^2</f>
        <v>25</v>
      </c>
      <c r="G324" s="22">
        <f t="shared" ref="G324:G366" si="28">E324/B324</f>
        <v>0.10638297872340426</v>
      </c>
    </row>
    <row r="325" spans="1:7" ht="15.75" customHeight="1">
      <c r="A325" s="3">
        <v>21874</v>
      </c>
      <c r="B325" s="4">
        <v>51</v>
      </c>
      <c r="C325">
        <f t="shared" ref="C325:C366" si="29">B324</f>
        <v>47</v>
      </c>
      <c r="D325">
        <f t="shared" si="25"/>
        <v>4</v>
      </c>
      <c r="E325">
        <f t="shared" si="26"/>
        <v>4</v>
      </c>
      <c r="F325">
        <f t="shared" si="27"/>
        <v>16</v>
      </c>
      <c r="G325" s="22">
        <f t="shared" si="28"/>
        <v>7.8431372549019607E-2</v>
      </c>
    </row>
    <row r="326" spans="1:7" ht="15.75" customHeight="1">
      <c r="A326" s="3">
        <v>21875</v>
      </c>
      <c r="B326" s="4">
        <v>44</v>
      </c>
      <c r="C326">
        <f t="shared" si="29"/>
        <v>51</v>
      </c>
      <c r="D326">
        <f t="shared" si="25"/>
        <v>-7</v>
      </c>
      <c r="E326">
        <f t="shared" si="26"/>
        <v>7</v>
      </c>
      <c r="F326">
        <f t="shared" si="27"/>
        <v>49</v>
      </c>
      <c r="G326" s="22">
        <f t="shared" si="28"/>
        <v>0.15909090909090909</v>
      </c>
    </row>
    <row r="327" spans="1:7" ht="15.75" customHeight="1">
      <c r="A327" s="3">
        <v>21876</v>
      </c>
      <c r="B327" s="4">
        <v>40</v>
      </c>
      <c r="C327">
        <f t="shared" si="29"/>
        <v>44</v>
      </c>
      <c r="D327">
        <f t="shared" si="25"/>
        <v>-4</v>
      </c>
      <c r="E327">
        <f t="shared" si="26"/>
        <v>4</v>
      </c>
      <c r="F327">
        <f t="shared" si="27"/>
        <v>16</v>
      </c>
      <c r="G327" s="22">
        <f t="shared" si="28"/>
        <v>0.1</v>
      </c>
    </row>
    <row r="328" spans="1:7" ht="15.75" customHeight="1">
      <c r="A328" s="3">
        <v>21877</v>
      </c>
      <c r="B328" s="4">
        <v>57</v>
      </c>
      <c r="C328">
        <f t="shared" si="29"/>
        <v>40</v>
      </c>
      <c r="D328">
        <f t="shared" si="25"/>
        <v>17</v>
      </c>
      <c r="E328">
        <f t="shared" si="26"/>
        <v>17</v>
      </c>
      <c r="F328">
        <f t="shared" si="27"/>
        <v>289</v>
      </c>
      <c r="G328" s="22">
        <f t="shared" si="28"/>
        <v>0.2982456140350877</v>
      </c>
    </row>
    <row r="329" spans="1:7" ht="15.75" customHeight="1">
      <c r="A329" s="3">
        <v>21878</v>
      </c>
      <c r="B329" s="4">
        <v>49</v>
      </c>
      <c r="C329">
        <f t="shared" si="29"/>
        <v>57</v>
      </c>
      <c r="D329">
        <f t="shared" si="25"/>
        <v>-8</v>
      </c>
      <c r="E329">
        <f t="shared" si="26"/>
        <v>8</v>
      </c>
      <c r="F329">
        <f t="shared" si="27"/>
        <v>64</v>
      </c>
      <c r="G329" s="22">
        <f t="shared" si="28"/>
        <v>0.16326530612244897</v>
      </c>
    </row>
    <row r="330" spans="1:7" ht="15.75" customHeight="1">
      <c r="A330" s="3">
        <v>21879</v>
      </c>
      <c r="B330" s="4">
        <v>45</v>
      </c>
      <c r="C330">
        <f t="shared" si="29"/>
        <v>49</v>
      </c>
      <c r="D330">
        <f t="shared" si="25"/>
        <v>-4</v>
      </c>
      <c r="E330">
        <f t="shared" si="26"/>
        <v>4</v>
      </c>
      <c r="F330">
        <f t="shared" si="27"/>
        <v>16</v>
      </c>
      <c r="G330" s="22">
        <f t="shared" si="28"/>
        <v>8.8888888888888892E-2</v>
      </c>
    </row>
    <row r="331" spans="1:7" ht="15.75" customHeight="1">
      <c r="A331" s="3">
        <v>21880</v>
      </c>
      <c r="B331" s="4">
        <v>49</v>
      </c>
      <c r="C331">
        <f t="shared" si="29"/>
        <v>45</v>
      </c>
      <c r="D331">
        <f t="shared" si="25"/>
        <v>4</v>
      </c>
      <c r="E331">
        <f t="shared" si="26"/>
        <v>4</v>
      </c>
      <c r="F331">
        <f t="shared" si="27"/>
        <v>16</v>
      </c>
      <c r="G331" s="22">
        <f t="shared" si="28"/>
        <v>8.1632653061224483E-2</v>
      </c>
    </row>
    <row r="332" spans="1:7" ht="15.75" customHeight="1">
      <c r="A332" s="3">
        <v>21881</v>
      </c>
      <c r="B332" s="4">
        <v>51</v>
      </c>
      <c r="C332">
        <f t="shared" si="29"/>
        <v>49</v>
      </c>
      <c r="D332">
        <f t="shared" si="25"/>
        <v>2</v>
      </c>
      <c r="E332">
        <f t="shared" si="26"/>
        <v>2</v>
      </c>
      <c r="F332">
        <f t="shared" si="27"/>
        <v>4</v>
      </c>
      <c r="G332" s="22">
        <f t="shared" si="28"/>
        <v>3.9215686274509803E-2</v>
      </c>
    </row>
    <row r="333" spans="1:7" ht="15.75" customHeight="1">
      <c r="A333" s="3">
        <v>21882</v>
      </c>
      <c r="B333" s="4">
        <v>46</v>
      </c>
      <c r="C333">
        <f t="shared" si="29"/>
        <v>51</v>
      </c>
      <c r="D333">
        <f t="shared" si="25"/>
        <v>-5</v>
      </c>
      <c r="E333">
        <f t="shared" si="26"/>
        <v>5</v>
      </c>
      <c r="F333">
        <f t="shared" si="27"/>
        <v>25</v>
      </c>
      <c r="G333" s="22">
        <f t="shared" si="28"/>
        <v>0.10869565217391304</v>
      </c>
    </row>
    <row r="334" spans="1:7" ht="15.75" customHeight="1">
      <c r="A334" s="3">
        <v>21883</v>
      </c>
      <c r="B334" s="4">
        <v>44</v>
      </c>
      <c r="C334">
        <f t="shared" si="29"/>
        <v>46</v>
      </c>
      <c r="D334">
        <f t="shared" si="25"/>
        <v>-2</v>
      </c>
      <c r="E334">
        <f t="shared" si="26"/>
        <v>2</v>
      </c>
      <c r="F334">
        <f t="shared" si="27"/>
        <v>4</v>
      </c>
      <c r="G334" s="22">
        <f t="shared" si="28"/>
        <v>4.5454545454545456E-2</v>
      </c>
    </row>
    <row r="335" spans="1:7" ht="15.75" customHeight="1">
      <c r="A335" s="3">
        <v>21884</v>
      </c>
      <c r="B335" s="4">
        <v>52</v>
      </c>
      <c r="C335">
        <f t="shared" si="29"/>
        <v>44</v>
      </c>
      <c r="D335">
        <f t="shared" si="25"/>
        <v>8</v>
      </c>
      <c r="E335">
        <f t="shared" si="26"/>
        <v>8</v>
      </c>
      <c r="F335">
        <f t="shared" si="27"/>
        <v>64</v>
      </c>
      <c r="G335" s="22">
        <f t="shared" si="28"/>
        <v>0.15384615384615385</v>
      </c>
    </row>
    <row r="336" spans="1:7" ht="15.75" customHeight="1">
      <c r="A336" s="3">
        <v>21885</v>
      </c>
      <c r="B336" s="4">
        <v>45</v>
      </c>
      <c r="C336">
        <f t="shared" si="29"/>
        <v>52</v>
      </c>
      <c r="D336">
        <f t="shared" si="25"/>
        <v>-7</v>
      </c>
      <c r="E336">
        <f t="shared" si="26"/>
        <v>7</v>
      </c>
      <c r="F336">
        <f t="shared" si="27"/>
        <v>49</v>
      </c>
      <c r="G336" s="22">
        <f t="shared" si="28"/>
        <v>0.15555555555555556</v>
      </c>
    </row>
    <row r="337" spans="1:7" ht="15.75" customHeight="1">
      <c r="A337" s="3">
        <v>21886</v>
      </c>
      <c r="B337" s="4">
        <v>32</v>
      </c>
      <c r="C337">
        <f t="shared" si="29"/>
        <v>45</v>
      </c>
      <c r="D337">
        <f t="shared" si="25"/>
        <v>-13</v>
      </c>
      <c r="E337">
        <f t="shared" si="26"/>
        <v>13</v>
      </c>
      <c r="F337">
        <f t="shared" si="27"/>
        <v>169</v>
      </c>
      <c r="G337" s="22">
        <f t="shared" si="28"/>
        <v>0.40625</v>
      </c>
    </row>
    <row r="338" spans="1:7" ht="15.75" customHeight="1">
      <c r="A338" s="3">
        <v>21887</v>
      </c>
      <c r="B338" s="4">
        <v>46</v>
      </c>
      <c r="C338">
        <f t="shared" si="29"/>
        <v>32</v>
      </c>
      <c r="D338">
        <f t="shared" si="25"/>
        <v>14</v>
      </c>
      <c r="E338">
        <f t="shared" si="26"/>
        <v>14</v>
      </c>
      <c r="F338">
        <f t="shared" si="27"/>
        <v>196</v>
      </c>
      <c r="G338" s="22">
        <f t="shared" si="28"/>
        <v>0.30434782608695654</v>
      </c>
    </row>
    <row r="339" spans="1:7" ht="15.75" customHeight="1">
      <c r="A339" s="3">
        <v>21888</v>
      </c>
      <c r="B339" s="4">
        <v>41</v>
      </c>
      <c r="C339">
        <f t="shared" si="29"/>
        <v>46</v>
      </c>
      <c r="D339">
        <f t="shared" si="25"/>
        <v>-5</v>
      </c>
      <c r="E339">
        <f t="shared" si="26"/>
        <v>5</v>
      </c>
      <c r="F339">
        <f t="shared" si="27"/>
        <v>25</v>
      </c>
      <c r="G339" s="22">
        <f t="shared" si="28"/>
        <v>0.12195121951219512</v>
      </c>
    </row>
    <row r="340" spans="1:7" ht="15.75" customHeight="1">
      <c r="A340" s="3">
        <v>21889</v>
      </c>
      <c r="B340" s="4">
        <v>34</v>
      </c>
      <c r="C340">
        <f t="shared" si="29"/>
        <v>41</v>
      </c>
      <c r="D340">
        <f t="shared" si="25"/>
        <v>-7</v>
      </c>
      <c r="E340">
        <f t="shared" si="26"/>
        <v>7</v>
      </c>
      <c r="F340">
        <f t="shared" si="27"/>
        <v>49</v>
      </c>
      <c r="G340" s="22">
        <f t="shared" si="28"/>
        <v>0.20588235294117646</v>
      </c>
    </row>
    <row r="341" spans="1:7" ht="15.75" customHeight="1">
      <c r="A341" s="3">
        <v>21890</v>
      </c>
      <c r="B341" s="4">
        <v>33</v>
      </c>
      <c r="C341">
        <f t="shared" si="29"/>
        <v>34</v>
      </c>
      <c r="D341">
        <f t="shared" si="25"/>
        <v>-1</v>
      </c>
      <c r="E341">
        <f t="shared" si="26"/>
        <v>1</v>
      </c>
      <c r="F341">
        <f t="shared" si="27"/>
        <v>1</v>
      </c>
      <c r="G341" s="22">
        <f t="shared" si="28"/>
        <v>3.0303030303030304E-2</v>
      </c>
    </row>
    <row r="342" spans="1:7" ht="15.75" customHeight="1">
      <c r="A342" s="3">
        <v>21891</v>
      </c>
      <c r="B342" s="4">
        <v>36</v>
      </c>
      <c r="C342">
        <f t="shared" si="29"/>
        <v>33</v>
      </c>
      <c r="D342">
        <f t="shared" si="25"/>
        <v>3</v>
      </c>
      <c r="E342">
        <f t="shared" si="26"/>
        <v>3</v>
      </c>
      <c r="F342">
        <f t="shared" si="27"/>
        <v>9</v>
      </c>
      <c r="G342" s="22">
        <f t="shared" si="28"/>
        <v>8.3333333333333329E-2</v>
      </c>
    </row>
    <row r="343" spans="1:7" ht="15.75" customHeight="1">
      <c r="A343" s="3">
        <v>21892</v>
      </c>
      <c r="B343" s="4">
        <v>49</v>
      </c>
      <c r="C343">
        <f t="shared" si="29"/>
        <v>36</v>
      </c>
      <c r="D343">
        <f t="shared" si="25"/>
        <v>13</v>
      </c>
      <c r="E343">
        <f t="shared" si="26"/>
        <v>13</v>
      </c>
      <c r="F343">
        <f t="shared" si="27"/>
        <v>169</v>
      </c>
      <c r="G343" s="22">
        <f t="shared" si="28"/>
        <v>0.26530612244897961</v>
      </c>
    </row>
    <row r="344" spans="1:7" ht="15.75" customHeight="1">
      <c r="A344" s="3">
        <v>21893</v>
      </c>
      <c r="B344" s="4">
        <v>43</v>
      </c>
      <c r="C344">
        <f t="shared" si="29"/>
        <v>49</v>
      </c>
      <c r="D344">
        <f t="shared" si="25"/>
        <v>-6</v>
      </c>
      <c r="E344">
        <f t="shared" si="26"/>
        <v>6</v>
      </c>
      <c r="F344">
        <f t="shared" si="27"/>
        <v>36</v>
      </c>
      <c r="G344" s="22">
        <f t="shared" si="28"/>
        <v>0.13953488372093023</v>
      </c>
    </row>
    <row r="345" spans="1:7" ht="15.75" customHeight="1">
      <c r="A345" s="3">
        <v>21894</v>
      </c>
      <c r="B345" s="4">
        <v>43</v>
      </c>
      <c r="C345">
        <f t="shared" si="29"/>
        <v>43</v>
      </c>
      <c r="D345">
        <f t="shared" si="25"/>
        <v>0</v>
      </c>
      <c r="E345">
        <f t="shared" si="26"/>
        <v>0</v>
      </c>
      <c r="F345">
        <f t="shared" si="27"/>
        <v>0</v>
      </c>
      <c r="G345" s="22">
        <f t="shared" si="28"/>
        <v>0</v>
      </c>
    </row>
    <row r="346" spans="1:7" ht="15.75" customHeight="1">
      <c r="A346" s="3">
        <v>21895</v>
      </c>
      <c r="B346" s="4">
        <v>34</v>
      </c>
      <c r="C346">
        <f t="shared" si="29"/>
        <v>43</v>
      </c>
      <c r="D346">
        <f t="shared" si="25"/>
        <v>-9</v>
      </c>
      <c r="E346">
        <f t="shared" si="26"/>
        <v>9</v>
      </c>
      <c r="F346">
        <f t="shared" si="27"/>
        <v>81</v>
      </c>
      <c r="G346" s="22">
        <f t="shared" si="28"/>
        <v>0.26470588235294118</v>
      </c>
    </row>
    <row r="347" spans="1:7" ht="15.75" customHeight="1">
      <c r="A347" s="3">
        <v>21896</v>
      </c>
      <c r="B347" s="4">
        <v>39</v>
      </c>
      <c r="C347">
        <f t="shared" si="29"/>
        <v>34</v>
      </c>
      <c r="D347">
        <f t="shared" si="25"/>
        <v>5</v>
      </c>
      <c r="E347">
        <f t="shared" si="26"/>
        <v>5</v>
      </c>
      <c r="F347">
        <f t="shared" si="27"/>
        <v>25</v>
      </c>
      <c r="G347" s="22">
        <f t="shared" si="28"/>
        <v>0.12820512820512819</v>
      </c>
    </row>
    <row r="348" spans="1:7" ht="15.75" customHeight="1">
      <c r="A348" s="3">
        <v>21897</v>
      </c>
      <c r="B348" s="4">
        <v>35</v>
      </c>
      <c r="C348">
        <f t="shared" si="29"/>
        <v>39</v>
      </c>
      <c r="D348">
        <f t="shared" si="25"/>
        <v>-4</v>
      </c>
      <c r="E348">
        <f t="shared" si="26"/>
        <v>4</v>
      </c>
      <c r="F348">
        <f t="shared" si="27"/>
        <v>16</v>
      </c>
      <c r="G348" s="22">
        <f t="shared" si="28"/>
        <v>0.11428571428571428</v>
      </c>
    </row>
    <row r="349" spans="1:7" ht="15.75" customHeight="1">
      <c r="A349" s="3">
        <v>21898</v>
      </c>
      <c r="B349" s="4">
        <v>52</v>
      </c>
      <c r="C349">
        <f t="shared" si="29"/>
        <v>35</v>
      </c>
      <c r="D349">
        <f t="shared" si="25"/>
        <v>17</v>
      </c>
      <c r="E349">
        <f t="shared" si="26"/>
        <v>17</v>
      </c>
      <c r="F349">
        <f t="shared" si="27"/>
        <v>289</v>
      </c>
      <c r="G349" s="22">
        <f t="shared" si="28"/>
        <v>0.32692307692307693</v>
      </c>
    </row>
    <row r="350" spans="1:7" ht="15.75" customHeight="1">
      <c r="A350" s="3">
        <v>21899</v>
      </c>
      <c r="B350" s="4">
        <v>47</v>
      </c>
      <c r="C350">
        <f t="shared" si="29"/>
        <v>52</v>
      </c>
      <c r="D350">
        <f t="shared" si="25"/>
        <v>-5</v>
      </c>
      <c r="E350">
        <f t="shared" si="26"/>
        <v>5</v>
      </c>
      <c r="F350">
        <f t="shared" si="27"/>
        <v>25</v>
      </c>
      <c r="G350" s="22">
        <f t="shared" si="28"/>
        <v>0.10638297872340426</v>
      </c>
    </row>
    <row r="351" spans="1:7" ht="15.75" customHeight="1">
      <c r="A351" s="3">
        <v>21900</v>
      </c>
      <c r="B351" s="4">
        <v>52</v>
      </c>
      <c r="C351">
        <f t="shared" si="29"/>
        <v>47</v>
      </c>
      <c r="D351">
        <f t="shared" si="25"/>
        <v>5</v>
      </c>
      <c r="E351">
        <f t="shared" si="26"/>
        <v>5</v>
      </c>
      <c r="F351">
        <f t="shared" si="27"/>
        <v>25</v>
      </c>
      <c r="G351" s="22">
        <f t="shared" si="28"/>
        <v>9.6153846153846159E-2</v>
      </c>
    </row>
    <row r="352" spans="1:7" ht="15.75" customHeight="1">
      <c r="A352" s="3">
        <v>21901</v>
      </c>
      <c r="B352" s="4">
        <v>39</v>
      </c>
      <c r="C352">
        <f t="shared" si="29"/>
        <v>52</v>
      </c>
      <c r="D352">
        <f t="shared" si="25"/>
        <v>-13</v>
      </c>
      <c r="E352">
        <f t="shared" si="26"/>
        <v>13</v>
      </c>
      <c r="F352">
        <f t="shared" si="27"/>
        <v>169</v>
      </c>
      <c r="G352" s="22">
        <f t="shared" si="28"/>
        <v>0.33333333333333331</v>
      </c>
    </row>
    <row r="353" spans="1:7" ht="15.75" customHeight="1">
      <c r="A353" s="3">
        <v>21902</v>
      </c>
      <c r="B353" s="4">
        <v>40</v>
      </c>
      <c r="C353">
        <f t="shared" si="29"/>
        <v>39</v>
      </c>
      <c r="D353">
        <f t="shared" si="25"/>
        <v>1</v>
      </c>
      <c r="E353">
        <f t="shared" si="26"/>
        <v>1</v>
      </c>
      <c r="F353">
        <f t="shared" si="27"/>
        <v>1</v>
      </c>
      <c r="G353" s="22">
        <f t="shared" si="28"/>
        <v>2.5000000000000001E-2</v>
      </c>
    </row>
    <row r="354" spans="1:7" ht="15.75" customHeight="1">
      <c r="A354" s="3">
        <v>21903</v>
      </c>
      <c r="B354" s="4">
        <v>42</v>
      </c>
      <c r="C354">
        <f t="shared" si="29"/>
        <v>40</v>
      </c>
      <c r="D354">
        <f t="shared" si="25"/>
        <v>2</v>
      </c>
      <c r="E354">
        <f t="shared" si="26"/>
        <v>2</v>
      </c>
      <c r="F354">
        <f t="shared" si="27"/>
        <v>4</v>
      </c>
      <c r="G354" s="22">
        <f t="shared" si="28"/>
        <v>4.7619047619047616E-2</v>
      </c>
    </row>
    <row r="355" spans="1:7" ht="15.75" customHeight="1">
      <c r="A355" s="3">
        <v>21904</v>
      </c>
      <c r="B355" s="4">
        <v>42</v>
      </c>
      <c r="C355">
        <f t="shared" si="29"/>
        <v>42</v>
      </c>
      <c r="D355">
        <f t="shared" si="25"/>
        <v>0</v>
      </c>
      <c r="E355">
        <f t="shared" si="26"/>
        <v>0</v>
      </c>
      <c r="F355">
        <f t="shared" si="27"/>
        <v>0</v>
      </c>
      <c r="G355" s="22">
        <f t="shared" si="28"/>
        <v>0</v>
      </c>
    </row>
    <row r="356" spans="1:7" ht="15.75" customHeight="1">
      <c r="A356" s="3">
        <v>21905</v>
      </c>
      <c r="B356" s="4">
        <v>53</v>
      </c>
      <c r="C356">
        <f t="shared" si="29"/>
        <v>42</v>
      </c>
      <c r="D356">
        <f t="shared" si="25"/>
        <v>11</v>
      </c>
      <c r="E356">
        <f t="shared" si="26"/>
        <v>11</v>
      </c>
      <c r="F356">
        <f t="shared" si="27"/>
        <v>121</v>
      </c>
      <c r="G356" s="22">
        <f t="shared" si="28"/>
        <v>0.20754716981132076</v>
      </c>
    </row>
    <row r="357" spans="1:7" ht="15.75" customHeight="1">
      <c r="A357" s="3">
        <v>21906</v>
      </c>
      <c r="B357" s="4">
        <v>39</v>
      </c>
      <c r="C357">
        <f t="shared" si="29"/>
        <v>53</v>
      </c>
      <c r="D357">
        <f t="shared" si="25"/>
        <v>-14</v>
      </c>
      <c r="E357">
        <f t="shared" si="26"/>
        <v>14</v>
      </c>
      <c r="F357">
        <f t="shared" si="27"/>
        <v>196</v>
      </c>
      <c r="G357" s="22">
        <f t="shared" si="28"/>
        <v>0.35897435897435898</v>
      </c>
    </row>
    <row r="358" spans="1:7" ht="15.75" customHeight="1">
      <c r="A358" s="3">
        <v>21907</v>
      </c>
      <c r="B358" s="4">
        <v>40</v>
      </c>
      <c r="C358">
        <f t="shared" si="29"/>
        <v>39</v>
      </c>
      <c r="D358">
        <f t="shared" si="25"/>
        <v>1</v>
      </c>
      <c r="E358">
        <f t="shared" si="26"/>
        <v>1</v>
      </c>
      <c r="F358">
        <f t="shared" si="27"/>
        <v>1</v>
      </c>
      <c r="G358" s="22">
        <f t="shared" si="28"/>
        <v>2.5000000000000001E-2</v>
      </c>
    </row>
    <row r="359" spans="1:7" ht="15.75" customHeight="1">
      <c r="A359" s="3">
        <v>21908</v>
      </c>
      <c r="B359" s="4">
        <v>38</v>
      </c>
      <c r="C359">
        <f t="shared" si="29"/>
        <v>40</v>
      </c>
      <c r="D359">
        <f t="shared" si="25"/>
        <v>-2</v>
      </c>
      <c r="E359">
        <f t="shared" si="26"/>
        <v>2</v>
      </c>
      <c r="F359">
        <f t="shared" si="27"/>
        <v>4</v>
      </c>
      <c r="G359" s="22">
        <f t="shared" si="28"/>
        <v>5.2631578947368418E-2</v>
      </c>
    </row>
    <row r="360" spans="1:7" ht="15.75" customHeight="1">
      <c r="A360" s="3">
        <v>21909</v>
      </c>
      <c r="B360" s="4">
        <v>44</v>
      </c>
      <c r="C360">
        <f t="shared" si="29"/>
        <v>38</v>
      </c>
      <c r="D360">
        <f t="shared" si="25"/>
        <v>6</v>
      </c>
      <c r="E360">
        <f t="shared" si="26"/>
        <v>6</v>
      </c>
      <c r="F360">
        <f t="shared" si="27"/>
        <v>36</v>
      </c>
      <c r="G360" s="22">
        <f t="shared" si="28"/>
        <v>0.13636363636363635</v>
      </c>
    </row>
    <row r="361" spans="1:7" ht="15.75" customHeight="1">
      <c r="A361" s="3">
        <v>21910</v>
      </c>
      <c r="B361" s="4">
        <v>34</v>
      </c>
      <c r="C361">
        <f t="shared" si="29"/>
        <v>44</v>
      </c>
      <c r="D361">
        <f t="shared" si="25"/>
        <v>-10</v>
      </c>
      <c r="E361">
        <f t="shared" si="26"/>
        <v>10</v>
      </c>
      <c r="F361">
        <f t="shared" si="27"/>
        <v>100</v>
      </c>
      <c r="G361" s="22">
        <f t="shared" si="28"/>
        <v>0.29411764705882354</v>
      </c>
    </row>
    <row r="362" spans="1:7" ht="15.75" customHeight="1">
      <c r="A362" s="3">
        <v>21911</v>
      </c>
      <c r="B362" s="4">
        <v>37</v>
      </c>
      <c r="C362">
        <f t="shared" si="29"/>
        <v>34</v>
      </c>
      <c r="D362">
        <f t="shared" si="25"/>
        <v>3</v>
      </c>
      <c r="E362">
        <f t="shared" si="26"/>
        <v>3</v>
      </c>
      <c r="F362">
        <f t="shared" si="27"/>
        <v>9</v>
      </c>
      <c r="G362" s="22">
        <f t="shared" si="28"/>
        <v>8.1081081081081086E-2</v>
      </c>
    </row>
    <row r="363" spans="1:7" ht="15.75" customHeight="1">
      <c r="A363" s="3">
        <v>21912</v>
      </c>
      <c r="B363" s="4">
        <v>52</v>
      </c>
      <c r="C363">
        <f t="shared" si="29"/>
        <v>37</v>
      </c>
      <c r="D363">
        <f t="shared" si="25"/>
        <v>15</v>
      </c>
      <c r="E363">
        <f t="shared" si="26"/>
        <v>15</v>
      </c>
      <c r="F363">
        <f t="shared" si="27"/>
        <v>225</v>
      </c>
      <c r="G363" s="22">
        <f t="shared" si="28"/>
        <v>0.28846153846153844</v>
      </c>
    </row>
    <row r="364" spans="1:7" ht="15.75" customHeight="1">
      <c r="A364" s="3">
        <v>21913</v>
      </c>
      <c r="B364" s="4">
        <v>48</v>
      </c>
      <c r="C364">
        <f t="shared" si="29"/>
        <v>52</v>
      </c>
      <c r="D364">
        <f t="shared" si="25"/>
        <v>-4</v>
      </c>
      <c r="E364">
        <f t="shared" si="26"/>
        <v>4</v>
      </c>
      <c r="F364">
        <f t="shared" si="27"/>
        <v>16</v>
      </c>
      <c r="G364" s="22">
        <f t="shared" si="28"/>
        <v>8.3333333333333329E-2</v>
      </c>
    </row>
    <row r="365" spans="1:7" ht="15.75" customHeight="1">
      <c r="A365" s="3">
        <v>21914</v>
      </c>
      <c r="B365" s="4">
        <v>55</v>
      </c>
      <c r="C365">
        <f t="shared" si="29"/>
        <v>48</v>
      </c>
      <c r="D365">
        <f t="shared" si="25"/>
        <v>7</v>
      </c>
      <c r="E365">
        <f t="shared" si="26"/>
        <v>7</v>
      </c>
      <c r="F365">
        <f t="shared" si="27"/>
        <v>49</v>
      </c>
      <c r="G365" s="22">
        <f t="shared" si="28"/>
        <v>0.12727272727272726</v>
      </c>
    </row>
    <row r="366" spans="1:7" ht="15.75" customHeight="1">
      <c r="A366" s="3">
        <v>21915</v>
      </c>
      <c r="B366" s="4">
        <v>50</v>
      </c>
      <c r="C366">
        <f t="shared" si="29"/>
        <v>55</v>
      </c>
      <c r="D366">
        <f t="shared" si="25"/>
        <v>-5</v>
      </c>
      <c r="E366">
        <f t="shared" si="26"/>
        <v>5</v>
      </c>
      <c r="F366">
        <f t="shared" si="27"/>
        <v>25</v>
      </c>
      <c r="G366" s="22">
        <f t="shared" si="28"/>
        <v>0.1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B1" workbookViewId="0">
      <selection activeCell="C1" sqref="C1:G1"/>
    </sheetView>
  </sheetViews>
  <sheetFormatPr defaultColWidth="11.25" defaultRowHeight="15" customHeight="1"/>
  <cols>
    <col min="1" max="1" width="11" customWidth="1"/>
    <col min="2" max="2" width="11.625" customWidth="1"/>
    <col min="3" max="3" width="22.875" customWidth="1"/>
    <col min="4" max="5" width="12.875" customWidth="1"/>
    <col min="6" max="6" width="20.125" customWidth="1"/>
    <col min="7" max="7" width="22.875" customWidth="1"/>
    <col min="8" max="10" width="11" customWidth="1"/>
    <col min="11" max="11" width="20.3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11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D2" s="8"/>
      <c r="E2" s="8"/>
      <c r="F2" s="8"/>
      <c r="G2" s="5"/>
    </row>
    <row r="3" spans="1:11" ht="15.75" customHeight="1">
      <c r="A3" s="3">
        <v>21552</v>
      </c>
      <c r="B3" s="4">
        <v>32</v>
      </c>
      <c r="D3" s="8"/>
      <c r="E3" s="8"/>
      <c r="F3" s="8"/>
      <c r="G3" s="5"/>
    </row>
    <row r="4" spans="1:11" ht="15.75" customHeight="1">
      <c r="A4" s="3">
        <v>21553</v>
      </c>
      <c r="B4" s="4">
        <v>30</v>
      </c>
      <c r="C4" s="23">
        <f>AVERAGE(B2:B3)</f>
        <v>33.5</v>
      </c>
      <c r="D4" s="13">
        <f>B4-C4</f>
        <v>-3.5</v>
      </c>
      <c r="E4" s="13">
        <f>ABS(D4)</f>
        <v>3.5</v>
      </c>
      <c r="F4" s="13">
        <f>E4^2</f>
        <v>12.25</v>
      </c>
      <c r="G4" s="5">
        <f>E4/B4</f>
        <v>0.11666666666666667</v>
      </c>
    </row>
    <row r="5" spans="1:11" ht="15.75" customHeight="1">
      <c r="A5" s="3">
        <v>21554</v>
      </c>
      <c r="B5" s="4">
        <v>31</v>
      </c>
      <c r="C5" s="23">
        <f>AVERAGE(B3:B4)</f>
        <v>31</v>
      </c>
      <c r="D5" s="13">
        <f t="shared" ref="D5:D68" si="0">B5-C5</f>
        <v>0</v>
      </c>
      <c r="E5" s="13">
        <f t="shared" ref="E5:E68" si="1">ABS(D5)</f>
        <v>0</v>
      </c>
      <c r="F5" s="13">
        <f t="shared" ref="F5:F68" si="2">E5^2</f>
        <v>0</v>
      </c>
      <c r="G5" s="5">
        <f t="shared" ref="G5:G68" si="3">E5/B5</f>
        <v>0</v>
      </c>
    </row>
    <row r="6" spans="1:11" ht="15.75" customHeight="1">
      <c r="A6" s="3">
        <v>21555</v>
      </c>
      <c r="B6" s="4">
        <v>44</v>
      </c>
      <c r="C6" s="23">
        <f>AVERAGE(B4:B5)</f>
        <v>30.5</v>
      </c>
      <c r="D6" s="13">
        <f t="shared" si="0"/>
        <v>13.5</v>
      </c>
      <c r="E6" s="13">
        <f t="shared" si="1"/>
        <v>13.5</v>
      </c>
      <c r="F6" s="13">
        <f t="shared" si="2"/>
        <v>182.25</v>
      </c>
      <c r="G6" s="5">
        <f t="shared" si="3"/>
        <v>0.30681818181818182</v>
      </c>
    </row>
    <row r="7" spans="1:11" ht="15.75" customHeight="1">
      <c r="A7" s="3">
        <v>21556</v>
      </c>
      <c r="B7" s="4">
        <v>29</v>
      </c>
      <c r="C7" s="23">
        <f t="shared" ref="C7:C68" si="4">AVERAGE(B5:B6)</f>
        <v>37.5</v>
      </c>
      <c r="D7" s="13">
        <f t="shared" si="0"/>
        <v>-8.5</v>
      </c>
      <c r="E7" s="13">
        <f t="shared" si="1"/>
        <v>8.5</v>
      </c>
      <c r="F7" s="13">
        <f t="shared" si="2"/>
        <v>72.25</v>
      </c>
      <c r="G7" s="5">
        <f t="shared" si="3"/>
        <v>0.29310344827586204</v>
      </c>
    </row>
    <row r="8" spans="1:11" ht="15.75" customHeight="1">
      <c r="A8" s="3">
        <v>21557</v>
      </c>
      <c r="B8" s="4">
        <v>45</v>
      </c>
      <c r="C8" s="23">
        <f t="shared" si="4"/>
        <v>36.5</v>
      </c>
      <c r="D8" s="13">
        <f t="shared" si="0"/>
        <v>8.5</v>
      </c>
      <c r="E8" s="13">
        <f t="shared" si="1"/>
        <v>8.5</v>
      </c>
      <c r="F8" s="13">
        <f t="shared" si="2"/>
        <v>72.25</v>
      </c>
      <c r="G8" s="5">
        <f t="shared" si="3"/>
        <v>0.18888888888888888</v>
      </c>
      <c r="J8" s="6" t="s">
        <v>7</v>
      </c>
      <c r="K8" s="7">
        <f>AVERAGE(E4:E366)</f>
        <v>6.5509641873278239</v>
      </c>
    </row>
    <row r="9" spans="1:11" ht="15.75" customHeight="1">
      <c r="A9" s="3">
        <v>21558</v>
      </c>
      <c r="B9" s="4">
        <v>43</v>
      </c>
      <c r="C9" s="23">
        <f t="shared" si="4"/>
        <v>37</v>
      </c>
      <c r="D9" s="13">
        <f t="shared" si="0"/>
        <v>6</v>
      </c>
      <c r="E9" s="13">
        <f t="shared" si="1"/>
        <v>6</v>
      </c>
      <c r="F9" s="13">
        <f t="shared" si="2"/>
        <v>36</v>
      </c>
      <c r="G9" s="5">
        <f t="shared" si="3"/>
        <v>0.13953488372093023</v>
      </c>
      <c r="J9" s="2" t="s">
        <v>8</v>
      </c>
      <c r="K9" s="8">
        <f>AVERAGE(F4:F366)</f>
        <v>66.460055096418728</v>
      </c>
    </row>
    <row r="10" spans="1:11" ht="15.75" customHeight="1">
      <c r="A10" s="3">
        <v>21559</v>
      </c>
      <c r="B10" s="4">
        <v>38</v>
      </c>
      <c r="C10" s="23">
        <f t="shared" si="4"/>
        <v>44</v>
      </c>
      <c r="D10" s="13">
        <f t="shared" si="0"/>
        <v>-6</v>
      </c>
      <c r="E10" s="13">
        <f t="shared" si="1"/>
        <v>6</v>
      </c>
      <c r="F10" s="13">
        <f t="shared" si="2"/>
        <v>36</v>
      </c>
      <c r="G10" s="5">
        <f t="shared" si="3"/>
        <v>0.15789473684210525</v>
      </c>
      <c r="J10" s="2" t="s">
        <v>9</v>
      </c>
      <c r="K10" s="5">
        <f>AVERAGE(G4:G366)</f>
        <v>0.15944747085082661</v>
      </c>
    </row>
    <row r="11" spans="1:11" ht="15.75" customHeight="1">
      <c r="A11" s="3">
        <v>21560</v>
      </c>
      <c r="B11" s="4">
        <v>27</v>
      </c>
      <c r="C11" s="23">
        <f t="shared" si="4"/>
        <v>40.5</v>
      </c>
      <c r="D11" s="13">
        <f t="shared" si="0"/>
        <v>-13.5</v>
      </c>
      <c r="E11" s="13">
        <f t="shared" si="1"/>
        <v>13.5</v>
      </c>
      <c r="F11" s="13">
        <f t="shared" si="2"/>
        <v>182.25</v>
      </c>
      <c r="G11" s="5">
        <f t="shared" si="3"/>
        <v>0.5</v>
      </c>
      <c r="J11" s="10" t="s">
        <v>10</v>
      </c>
      <c r="K11" s="24">
        <f>100%-K10</f>
        <v>0.84055252914917333</v>
      </c>
    </row>
    <row r="12" spans="1:11" ht="15.75" customHeight="1">
      <c r="A12" s="3">
        <v>21561</v>
      </c>
      <c r="B12" s="4">
        <v>38</v>
      </c>
      <c r="C12" s="23">
        <f t="shared" si="4"/>
        <v>32.5</v>
      </c>
      <c r="D12" s="13">
        <f t="shared" si="0"/>
        <v>5.5</v>
      </c>
      <c r="E12" s="13">
        <f t="shared" si="1"/>
        <v>5.5</v>
      </c>
      <c r="F12" s="13">
        <f t="shared" si="2"/>
        <v>30.25</v>
      </c>
      <c r="G12" s="5">
        <f t="shared" si="3"/>
        <v>0.14473684210526316</v>
      </c>
    </row>
    <row r="13" spans="1:11" ht="15.75" customHeight="1">
      <c r="A13" s="3">
        <v>21562</v>
      </c>
      <c r="B13" s="4">
        <v>33</v>
      </c>
      <c r="C13" s="23">
        <f t="shared" si="4"/>
        <v>32.5</v>
      </c>
      <c r="D13" s="13">
        <f t="shared" si="0"/>
        <v>0.5</v>
      </c>
      <c r="E13" s="13">
        <f t="shared" si="1"/>
        <v>0.5</v>
      </c>
      <c r="F13" s="13">
        <f t="shared" si="2"/>
        <v>0.25</v>
      </c>
      <c r="G13" s="5">
        <f t="shared" si="3"/>
        <v>1.5151515151515152E-2</v>
      </c>
    </row>
    <row r="14" spans="1:11" ht="15.75" customHeight="1">
      <c r="A14" s="3">
        <v>21563</v>
      </c>
      <c r="B14" s="4">
        <v>55</v>
      </c>
      <c r="C14" s="23">
        <f t="shared" si="4"/>
        <v>35.5</v>
      </c>
      <c r="D14" s="13">
        <f t="shared" si="0"/>
        <v>19.5</v>
      </c>
      <c r="E14" s="13">
        <f t="shared" si="1"/>
        <v>19.5</v>
      </c>
      <c r="F14" s="13">
        <f t="shared" si="2"/>
        <v>380.25</v>
      </c>
      <c r="G14" s="5">
        <f t="shared" si="3"/>
        <v>0.35454545454545455</v>
      </c>
    </row>
    <row r="15" spans="1:11" ht="15.75" customHeight="1">
      <c r="A15" s="3">
        <v>21564</v>
      </c>
      <c r="B15" s="4">
        <v>47</v>
      </c>
      <c r="C15" s="23">
        <f t="shared" si="4"/>
        <v>44</v>
      </c>
      <c r="D15" s="13">
        <f t="shared" si="0"/>
        <v>3</v>
      </c>
      <c r="E15" s="13">
        <f t="shared" si="1"/>
        <v>3</v>
      </c>
      <c r="F15" s="13">
        <f t="shared" si="2"/>
        <v>9</v>
      </c>
      <c r="G15" s="5">
        <f t="shared" si="3"/>
        <v>6.3829787234042548E-2</v>
      </c>
    </row>
    <row r="16" spans="1:11" ht="15.75" customHeight="1">
      <c r="A16" s="3">
        <v>21565</v>
      </c>
      <c r="B16" s="4">
        <v>45</v>
      </c>
      <c r="C16" s="23">
        <f t="shared" si="4"/>
        <v>51</v>
      </c>
      <c r="D16" s="13">
        <f t="shared" si="0"/>
        <v>-6</v>
      </c>
      <c r="E16" s="13">
        <f t="shared" si="1"/>
        <v>6</v>
      </c>
      <c r="F16" s="13">
        <f t="shared" si="2"/>
        <v>36</v>
      </c>
      <c r="G16" s="5">
        <f t="shared" si="3"/>
        <v>0.13333333333333333</v>
      </c>
    </row>
    <row r="17" spans="1:7" ht="15.75" customHeight="1">
      <c r="A17" s="3">
        <v>21566</v>
      </c>
      <c r="B17" s="4">
        <v>37</v>
      </c>
      <c r="C17" s="23">
        <f t="shared" si="4"/>
        <v>46</v>
      </c>
      <c r="D17" s="13">
        <f t="shared" si="0"/>
        <v>-9</v>
      </c>
      <c r="E17" s="13">
        <f t="shared" si="1"/>
        <v>9</v>
      </c>
      <c r="F17" s="13">
        <f t="shared" si="2"/>
        <v>81</v>
      </c>
      <c r="G17" s="5">
        <f t="shared" si="3"/>
        <v>0.24324324324324326</v>
      </c>
    </row>
    <row r="18" spans="1:7" ht="15.75" customHeight="1">
      <c r="A18" s="3">
        <v>21567</v>
      </c>
      <c r="B18" s="4">
        <v>50</v>
      </c>
      <c r="C18" s="23">
        <f t="shared" si="4"/>
        <v>41</v>
      </c>
      <c r="D18" s="13">
        <f t="shared" si="0"/>
        <v>9</v>
      </c>
      <c r="E18" s="13">
        <f t="shared" si="1"/>
        <v>9</v>
      </c>
      <c r="F18" s="13">
        <f t="shared" si="2"/>
        <v>81</v>
      </c>
      <c r="G18" s="5">
        <f t="shared" si="3"/>
        <v>0.18</v>
      </c>
    </row>
    <row r="19" spans="1:7" ht="15.75" customHeight="1">
      <c r="A19" s="3">
        <v>21568</v>
      </c>
      <c r="B19" s="4">
        <v>43</v>
      </c>
      <c r="C19" s="23">
        <f t="shared" si="4"/>
        <v>43.5</v>
      </c>
      <c r="D19" s="13">
        <f t="shared" si="0"/>
        <v>-0.5</v>
      </c>
      <c r="E19" s="13">
        <f t="shared" si="1"/>
        <v>0.5</v>
      </c>
      <c r="F19" s="13">
        <f t="shared" si="2"/>
        <v>0.25</v>
      </c>
      <c r="G19" s="5">
        <f t="shared" si="3"/>
        <v>1.1627906976744186E-2</v>
      </c>
    </row>
    <row r="20" spans="1:7" ht="15.75" customHeight="1">
      <c r="A20" s="3">
        <v>21569</v>
      </c>
      <c r="B20" s="4">
        <v>41</v>
      </c>
      <c r="C20" s="23">
        <f t="shared" si="4"/>
        <v>46.5</v>
      </c>
      <c r="D20" s="13">
        <f t="shared" si="0"/>
        <v>-5.5</v>
      </c>
      <c r="E20" s="13">
        <f t="shared" si="1"/>
        <v>5.5</v>
      </c>
      <c r="F20" s="13">
        <f t="shared" si="2"/>
        <v>30.25</v>
      </c>
      <c r="G20" s="5">
        <f t="shared" si="3"/>
        <v>0.13414634146341464</v>
      </c>
    </row>
    <row r="21" spans="1:7" ht="15.75" customHeight="1">
      <c r="A21" s="3">
        <v>21570</v>
      </c>
      <c r="B21" s="4">
        <v>52</v>
      </c>
      <c r="C21" s="23">
        <f t="shared" si="4"/>
        <v>42</v>
      </c>
      <c r="D21" s="13">
        <f t="shared" si="0"/>
        <v>10</v>
      </c>
      <c r="E21" s="13">
        <f t="shared" si="1"/>
        <v>10</v>
      </c>
      <c r="F21" s="13">
        <f t="shared" si="2"/>
        <v>100</v>
      </c>
      <c r="G21" s="5">
        <f t="shared" si="3"/>
        <v>0.19230769230769232</v>
      </c>
    </row>
    <row r="22" spans="1:7" ht="15.75" customHeight="1">
      <c r="A22" s="3">
        <v>21571</v>
      </c>
      <c r="B22" s="4">
        <v>34</v>
      </c>
      <c r="C22" s="23">
        <f t="shared" si="4"/>
        <v>46.5</v>
      </c>
      <c r="D22" s="13">
        <f t="shared" si="0"/>
        <v>-12.5</v>
      </c>
      <c r="E22" s="13">
        <f t="shared" si="1"/>
        <v>12.5</v>
      </c>
      <c r="F22" s="13">
        <f t="shared" si="2"/>
        <v>156.25</v>
      </c>
      <c r="G22" s="5">
        <f t="shared" si="3"/>
        <v>0.36764705882352944</v>
      </c>
    </row>
    <row r="23" spans="1:7" ht="15.75" customHeight="1">
      <c r="A23" s="3">
        <v>21572</v>
      </c>
      <c r="B23" s="4">
        <v>53</v>
      </c>
      <c r="C23" s="23">
        <f t="shared" si="4"/>
        <v>43</v>
      </c>
      <c r="D23" s="13">
        <f t="shared" si="0"/>
        <v>10</v>
      </c>
      <c r="E23" s="13">
        <f t="shared" si="1"/>
        <v>10</v>
      </c>
      <c r="F23" s="13">
        <f t="shared" si="2"/>
        <v>100</v>
      </c>
      <c r="G23" s="5">
        <f t="shared" si="3"/>
        <v>0.18867924528301888</v>
      </c>
    </row>
    <row r="24" spans="1:7" ht="15.75" customHeight="1">
      <c r="A24" s="3">
        <v>21573</v>
      </c>
      <c r="B24" s="4">
        <v>39</v>
      </c>
      <c r="C24" s="23">
        <f t="shared" si="4"/>
        <v>43.5</v>
      </c>
      <c r="D24" s="13">
        <f t="shared" si="0"/>
        <v>-4.5</v>
      </c>
      <c r="E24" s="13">
        <f t="shared" si="1"/>
        <v>4.5</v>
      </c>
      <c r="F24" s="13">
        <f t="shared" si="2"/>
        <v>20.25</v>
      </c>
      <c r="G24" s="5">
        <f t="shared" si="3"/>
        <v>0.11538461538461539</v>
      </c>
    </row>
    <row r="25" spans="1:7" ht="15.75" customHeight="1">
      <c r="A25" s="3">
        <v>21574</v>
      </c>
      <c r="B25" s="4">
        <v>32</v>
      </c>
      <c r="C25" s="23">
        <f t="shared" si="4"/>
        <v>46</v>
      </c>
      <c r="D25" s="13">
        <f t="shared" si="0"/>
        <v>-14</v>
      </c>
      <c r="E25" s="13">
        <f t="shared" si="1"/>
        <v>14</v>
      </c>
      <c r="F25" s="13">
        <f t="shared" si="2"/>
        <v>196</v>
      </c>
      <c r="G25" s="5">
        <f t="shared" si="3"/>
        <v>0.4375</v>
      </c>
    </row>
    <row r="26" spans="1:7" ht="15.75" customHeight="1">
      <c r="A26" s="3">
        <v>21575</v>
      </c>
      <c r="B26" s="4">
        <v>37</v>
      </c>
      <c r="C26" s="23">
        <f t="shared" si="4"/>
        <v>35.5</v>
      </c>
      <c r="D26" s="13">
        <f t="shared" si="0"/>
        <v>1.5</v>
      </c>
      <c r="E26" s="13">
        <f t="shared" si="1"/>
        <v>1.5</v>
      </c>
      <c r="F26" s="13">
        <f t="shared" si="2"/>
        <v>2.25</v>
      </c>
      <c r="G26" s="5">
        <f t="shared" si="3"/>
        <v>4.0540540540540543E-2</v>
      </c>
    </row>
    <row r="27" spans="1:7" ht="15.75" customHeight="1">
      <c r="A27" s="3">
        <v>21576</v>
      </c>
      <c r="B27" s="4">
        <v>43</v>
      </c>
      <c r="C27" s="23">
        <f t="shared" si="4"/>
        <v>34.5</v>
      </c>
      <c r="D27" s="13">
        <f t="shared" si="0"/>
        <v>8.5</v>
      </c>
      <c r="E27" s="13">
        <f t="shared" si="1"/>
        <v>8.5</v>
      </c>
      <c r="F27" s="13">
        <f t="shared" si="2"/>
        <v>72.25</v>
      </c>
      <c r="G27" s="5">
        <f t="shared" si="3"/>
        <v>0.19767441860465115</v>
      </c>
    </row>
    <row r="28" spans="1:7" ht="15.75" customHeight="1">
      <c r="A28" s="3">
        <v>21577</v>
      </c>
      <c r="B28" s="4">
        <v>39</v>
      </c>
      <c r="C28" s="23">
        <f t="shared" si="4"/>
        <v>40</v>
      </c>
      <c r="D28" s="13">
        <f t="shared" si="0"/>
        <v>-1</v>
      </c>
      <c r="E28" s="13">
        <f t="shared" si="1"/>
        <v>1</v>
      </c>
      <c r="F28" s="13">
        <f t="shared" si="2"/>
        <v>1</v>
      </c>
      <c r="G28" s="5">
        <f t="shared" si="3"/>
        <v>2.564102564102564E-2</v>
      </c>
    </row>
    <row r="29" spans="1:7" ht="15.75" customHeight="1">
      <c r="A29" s="3">
        <v>21578</v>
      </c>
      <c r="B29" s="4">
        <v>35</v>
      </c>
      <c r="C29" s="23">
        <f t="shared" si="4"/>
        <v>41</v>
      </c>
      <c r="D29" s="13">
        <f t="shared" si="0"/>
        <v>-6</v>
      </c>
      <c r="E29" s="13">
        <f t="shared" si="1"/>
        <v>6</v>
      </c>
      <c r="F29" s="13">
        <f t="shared" si="2"/>
        <v>36</v>
      </c>
      <c r="G29" s="5">
        <f t="shared" si="3"/>
        <v>0.17142857142857143</v>
      </c>
    </row>
    <row r="30" spans="1:7" ht="15.75" customHeight="1">
      <c r="A30" s="3">
        <v>21579</v>
      </c>
      <c r="B30" s="4">
        <v>44</v>
      </c>
      <c r="C30" s="23">
        <f t="shared" si="4"/>
        <v>37</v>
      </c>
      <c r="D30" s="13">
        <f t="shared" si="0"/>
        <v>7</v>
      </c>
      <c r="E30" s="13">
        <f t="shared" si="1"/>
        <v>7</v>
      </c>
      <c r="F30" s="13">
        <f t="shared" si="2"/>
        <v>49</v>
      </c>
      <c r="G30" s="5">
        <f t="shared" si="3"/>
        <v>0.15909090909090909</v>
      </c>
    </row>
    <row r="31" spans="1:7" ht="15.75" customHeight="1">
      <c r="A31" s="3">
        <v>21580</v>
      </c>
      <c r="B31" s="4">
        <v>38</v>
      </c>
      <c r="C31" s="23">
        <f t="shared" si="4"/>
        <v>39.5</v>
      </c>
      <c r="D31" s="13">
        <f t="shared" si="0"/>
        <v>-1.5</v>
      </c>
      <c r="E31" s="13">
        <f t="shared" si="1"/>
        <v>1.5</v>
      </c>
      <c r="F31" s="13">
        <f t="shared" si="2"/>
        <v>2.25</v>
      </c>
      <c r="G31" s="5">
        <f t="shared" si="3"/>
        <v>3.9473684210526314E-2</v>
      </c>
    </row>
    <row r="32" spans="1:7" ht="15.75" customHeight="1">
      <c r="A32" s="3">
        <v>21581</v>
      </c>
      <c r="B32" s="4">
        <v>24</v>
      </c>
      <c r="C32" s="23">
        <f t="shared" si="4"/>
        <v>41</v>
      </c>
      <c r="D32" s="13">
        <f t="shared" si="0"/>
        <v>-17</v>
      </c>
      <c r="E32" s="13">
        <f t="shared" si="1"/>
        <v>17</v>
      </c>
      <c r="F32" s="13">
        <f t="shared" si="2"/>
        <v>289</v>
      </c>
      <c r="G32" s="5">
        <f t="shared" si="3"/>
        <v>0.70833333333333337</v>
      </c>
    </row>
    <row r="33" spans="1:7" ht="15.75" customHeight="1">
      <c r="A33" s="3">
        <v>21582</v>
      </c>
      <c r="B33" s="4">
        <v>23</v>
      </c>
      <c r="C33" s="23">
        <f t="shared" si="4"/>
        <v>31</v>
      </c>
      <c r="D33" s="13">
        <f t="shared" si="0"/>
        <v>-8</v>
      </c>
      <c r="E33" s="13">
        <f t="shared" si="1"/>
        <v>8</v>
      </c>
      <c r="F33" s="13">
        <f t="shared" si="2"/>
        <v>64</v>
      </c>
      <c r="G33" s="5">
        <f t="shared" si="3"/>
        <v>0.34782608695652173</v>
      </c>
    </row>
    <row r="34" spans="1:7" ht="15.75" customHeight="1">
      <c r="A34" s="3">
        <v>21583</v>
      </c>
      <c r="B34" s="4">
        <v>31</v>
      </c>
      <c r="C34" s="23">
        <f t="shared" si="4"/>
        <v>23.5</v>
      </c>
      <c r="D34" s="13">
        <f t="shared" si="0"/>
        <v>7.5</v>
      </c>
      <c r="E34" s="13">
        <f t="shared" si="1"/>
        <v>7.5</v>
      </c>
      <c r="F34" s="13">
        <f t="shared" si="2"/>
        <v>56.25</v>
      </c>
      <c r="G34" s="5">
        <f t="shared" si="3"/>
        <v>0.24193548387096775</v>
      </c>
    </row>
    <row r="35" spans="1:7" ht="15.75" customHeight="1">
      <c r="A35" s="3">
        <v>21584</v>
      </c>
      <c r="B35" s="4">
        <v>44</v>
      </c>
      <c r="C35" s="23">
        <f t="shared" si="4"/>
        <v>27</v>
      </c>
      <c r="D35" s="13">
        <f t="shared" si="0"/>
        <v>17</v>
      </c>
      <c r="E35" s="13">
        <f t="shared" si="1"/>
        <v>17</v>
      </c>
      <c r="F35" s="13">
        <f t="shared" si="2"/>
        <v>289</v>
      </c>
      <c r="G35" s="5">
        <f t="shared" si="3"/>
        <v>0.38636363636363635</v>
      </c>
    </row>
    <row r="36" spans="1:7" ht="15.75" customHeight="1">
      <c r="A36" s="3">
        <v>21585</v>
      </c>
      <c r="B36" s="4">
        <v>38</v>
      </c>
      <c r="C36" s="23">
        <f t="shared" si="4"/>
        <v>37.5</v>
      </c>
      <c r="D36" s="13">
        <f t="shared" si="0"/>
        <v>0.5</v>
      </c>
      <c r="E36" s="13">
        <f t="shared" si="1"/>
        <v>0.5</v>
      </c>
      <c r="F36" s="13">
        <f t="shared" si="2"/>
        <v>0.25</v>
      </c>
      <c r="G36" s="5">
        <f t="shared" si="3"/>
        <v>1.3157894736842105E-2</v>
      </c>
    </row>
    <row r="37" spans="1:7" ht="15.75" customHeight="1">
      <c r="A37" s="3">
        <v>21586</v>
      </c>
      <c r="B37" s="4">
        <v>50</v>
      </c>
      <c r="C37" s="23">
        <f t="shared" si="4"/>
        <v>41</v>
      </c>
      <c r="D37" s="13">
        <f t="shared" si="0"/>
        <v>9</v>
      </c>
      <c r="E37" s="13">
        <f t="shared" si="1"/>
        <v>9</v>
      </c>
      <c r="F37" s="13">
        <f t="shared" si="2"/>
        <v>81</v>
      </c>
      <c r="G37" s="5">
        <f t="shared" si="3"/>
        <v>0.18</v>
      </c>
    </row>
    <row r="38" spans="1:7" ht="15.75" customHeight="1">
      <c r="A38" s="3">
        <v>21587</v>
      </c>
      <c r="B38" s="4">
        <v>38</v>
      </c>
      <c r="C38" s="23">
        <f t="shared" si="4"/>
        <v>44</v>
      </c>
      <c r="D38" s="13">
        <f t="shared" si="0"/>
        <v>-6</v>
      </c>
      <c r="E38" s="13">
        <f t="shared" si="1"/>
        <v>6</v>
      </c>
      <c r="F38" s="13">
        <f t="shared" si="2"/>
        <v>36</v>
      </c>
      <c r="G38" s="5">
        <f t="shared" si="3"/>
        <v>0.15789473684210525</v>
      </c>
    </row>
    <row r="39" spans="1:7" ht="15.75" customHeight="1">
      <c r="A39" s="3">
        <v>21588</v>
      </c>
      <c r="B39" s="4">
        <v>51</v>
      </c>
      <c r="C39" s="23">
        <f t="shared" si="4"/>
        <v>44</v>
      </c>
      <c r="D39" s="13">
        <f t="shared" si="0"/>
        <v>7</v>
      </c>
      <c r="E39" s="13">
        <f t="shared" si="1"/>
        <v>7</v>
      </c>
      <c r="F39" s="13">
        <f t="shared" si="2"/>
        <v>49</v>
      </c>
      <c r="G39" s="5">
        <f t="shared" si="3"/>
        <v>0.13725490196078433</v>
      </c>
    </row>
    <row r="40" spans="1:7" ht="15.75" customHeight="1">
      <c r="A40" s="3">
        <v>21589</v>
      </c>
      <c r="B40" s="4">
        <v>31</v>
      </c>
      <c r="C40" s="23">
        <f t="shared" si="4"/>
        <v>44.5</v>
      </c>
      <c r="D40" s="13">
        <f t="shared" si="0"/>
        <v>-13.5</v>
      </c>
      <c r="E40" s="13">
        <f t="shared" si="1"/>
        <v>13.5</v>
      </c>
      <c r="F40" s="13">
        <f t="shared" si="2"/>
        <v>182.25</v>
      </c>
      <c r="G40" s="5">
        <f t="shared" si="3"/>
        <v>0.43548387096774194</v>
      </c>
    </row>
    <row r="41" spans="1:7" ht="15.75" customHeight="1">
      <c r="A41" s="3">
        <v>21590</v>
      </c>
      <c r="B41" s="4">
        <v>31</v>
      </c>
      <c r="C41" s="23">
        <f t="shared" si="4"/>
        <v>41</v>
      </c>
      <c r="D41" s="13">
        <f t="shared" si="0"/>
        <v>-10</v>
      </c>
      <c r="E41" s="13">
        <f t="shared" si="1"/>
        <v>10</v>
      </c>
      <c r="F41" s="13">
        <f t="shared" si="2"/>
        <v>100</v>
      </c>
      <c r="G41" s="5">
        <f t="shared" si="3"/>
        <v>0.32258064516129031</v>
      </c>
    </row>
    <row r="42" spans="1:7" ht="15.75" customHeight="1">
      <c r="A42" s="3">
        <v>21591</v>
      </c>
      <c r="B42" s="4">
        <v>51</v>
      </c>
      <c r="C42" s="23">
        <f t="shared" si="4"/>
        <v>31</v>
      </c>
      <c r="D42" s="13">
        <f t="shared" si="0"/>
        <v>20</v>
      </c>
      <c r="E42" s="13">
        <f t="shared" si="1"/>
        <v>20</v>
      </c>
      <c r="F42" s="13">
        <f t="shared" si="2"/>
        <v>400</v>
      </c>
      <c r="G42" s="5">
        <f t="shared" si="3"/>
        <v>0.39215686274509803</v>
      </c>
    </row>
    <row r="43" spans="1:7" ht="15.75" customHeight="1">
      <c r="A43" s="3">
        <v>21592</v>
      </c>
      <c r="B43" s="4">
        <v>36</v>
      </c>
      <c r="C43" s="23">
        <f t="shared" si="4"/>
        <v>41</v>
      </c>
      <c r="D43" s="13">
        <f t="shared" si="0"/>
        <v>-5</v>
      </c>
      <c r="E43" s="13">
        <f t="shared" si="1"/>
        <v>5</v>
      </c>
      <c r="F43" s="13">
        <f t="shared" si="2"/>
        <v>25</v>
      </c>
      <c r="G43" s="5">
        <f t="shared" si="3"/>
        <v>0.1388888888888889</v>
      </c>
    </row>
    <row r="44" spans="1:7" ht="15.75" customHeight="1">
      <c r="A44" s="3">
        <v>21593</v>
      </c>
      <c r="B44" s="4">
        <v>45</v>
      </c>
      <c r="C44" s="23">
        <f t="shared" si="4"/>
        <v>43.5</v>
      </c>
      <c r="D44" s="13">
        <f t="shared" si="0"/>
        <v>1.5</v>
      </c>
      <c r="E44" s="13">
        <f t="shared" si="1"/>
        <v>1.5</v>
      </c>
      <c r="F44" s="13">
        <f t="shared" si="2"/>
        <v>2.25</v>
      </c>
      <c r="G44" s="5">
        <f t="shared" si="3"/>
        <v>3.3333333333333333E-2</v>
      </c>
    </row>
    <row r="45" spans="1:7" ht="15.75" customHeight="1">
      <c r="A45" s="3">
        <v>21594</v>
      </c>
      <c r="B45" s="4">
        <v>51</v>
      </c>
      <c r="C45" s="23">
        <f t="shared" si="4"/>
        <v>40.5</v>
      </c>
      <c r="D45" s="13">
        <f t="shared" si="0"/>
        <v>10.5</v>
      </c>
      <c r="E45" s="13">
        <f t="shared" si="1"/>
        <v>10.5</v>
      </c>
      <c r="F45" s="13">
        <f t="shared" si="2"/>
        <v>110.25</v>
      </c>
      <c r="G45" s="5">
        <f t="shared" si="3"/>
        <v>0.20588235294117646</v>
      </c>
    </row>
    <row r="46" spans="1:7" ht="15.75" customHeight="1">
      <c r="A46" s="3">
        <v>21595</v>
      </c>
      <c r="B46" s="4">
        <v>34</v>
      </c>
      <c r="C46" s="23">
        <f t="shared" si="4"/>
        <v>48</v>
      </c>
      <c r="D46" s="13">
        <f t="shared" si="0"/>
        <v>-14</v>
      </c>
      <c r="E46" s="13">
        <f t="shared" si="1"/>
        <v>14</v>
      </c>
      <c r="F46" s="13">
        <f t="shared" si="2"/>
        <v>196</v>
      </c>
      <c r="G46" s="5">
        <f t="shared" si="3"/>
        <v>0.41176470588235292</v>
      </c>
    </row>
    <row r="47" spans="1:7" ht="15.75" customHeight="1">
      <c r="A47" s="3">
        <v>21596</v>
      </c>
      <c r="B47" s="4">
        <v>52</v>
      </c>
      <c r="C47" s="23">
        <f t="shared" si="4"/>
        <v>42.5</v>
      </c>
      <c r="D47" s="13">
        <f t="shared" si="0"/>
        <v>9.5</v>
      </c>
      <c r="E47" s="13">
        <f t="shared" si="1"/>
        <v>9.5</v>
      </c>
      <c r="F47" s="13">
        <f t="shared" si="2"/>
        <v>90.25</v>
      </c>
      <c r="G47" s="5">
        <f t="shared" si="3"/>
        <v>0.18269230769230768</v>
      </c>
    </row>
    <row r="48" spans="1:7" ht="15.75" customHeight="1">
      <c r="A48" s="3">
        <v>21597</v>
      </c>
      <c r="B48" s="4">
        <v>47</v>
      </c>
      <c r="C48" s="23">
        <f t="shared" si="4"/>
        <v>43</v>
      </c>
      <c r="D48" s="13">
        <f t="shared" si="0"/>
        <v>4</v>
      </c>
      <c r="E48" s="13">
        <f t="shared" si="1"/>
        <v>4</v>
      </c>
      <c r="F48" s="13">
        <f t="shared" si="2"/>
        <v>16</v>
      </c>
      <c r="G48" s="5">
        <f t="shared" si="3"/>
        <v>8.5106382978723402E-2</v>
      </c>
    </row>
    <row r="49" spans="1:7" ht="15.75" customHeight="1">
      <c r="A49" s="3">
        <v>21598</v>
      </c>
      <c r="B49" s="4">
        <v>45</v>
      </c>
      <c r="C49" s="23">
        <f t="shared" si="4"/>
        <v>49.5</v>
      </c>
      <c r="D49" s="13">
        <f t="shared" si="0"/>
        <v>-4.5</v>
      </c>
      <c r="E49" s="13">
        <f t="shared" si="1"/>
        <v>4.5</v>
      </c>
      <c r="F49" s="13">
        <f t="shared" si="2"/>
        <v>20.25</v>
      </c>
      <c r="G49" s="5">
        <f t="shared" si="3"/>
        <v>0.1</v>
      </c>
    </row>
    <row r="50" spans="1:7" ht="15.75" customHeight="1">
      <c r="A50" s="3">
        <v>21599</v>
      </c>
      <c r="B50" s="4">
        <v>46</v>
      </c>
      <c r="C50" s="23">
        <f t="shared" si="4"/>
        <v>46</v>
      </c>
      <c r="D50" s="13">
        <f t="shared" si="0"/>
        <v>0</v>
      </c>
      <c r="E50" s="13">
        <f t="shared" si="1"/>
        <v>0</v>
      </c>
      <c r="F50" s="13">
        <f t="shared" si="2"/>
        <v>0</v>
      </c>
      <c r="G50" s="5">
        <f t="shared" si="3"/>
        <v>0</v>
      </c>
    </row>
    <row r="51" spans="1:7" ht="15.75" customHeight="1">
      <c r="A51" s="3">
        <v>21600</v>
      </c>
      <c r="B51" s="4">
        <v>39</v>
      </c>
      <c r="C51" s="23">
        <f t="shared" si="4"/>
        <v>45.5</v>
      </c>
      <c r="D51" s="13">
        <f t="shared" si="0"/>
        <v>-6.5</v>
      </c>
      <c r="E51" s="13">
        <f t="shared" si="1"/>
        <v>6.5</v>
      </c>
      <c r="F51" s="13">
        <f t="shared" si="2"/>
        <v>42.25</v>
      </c>
      <c r="G51" s="5">
        <f t="shared" si="3"/>
        <v>0.16666666666666666</v>
      </c>
    </row>
    <row r="52" spans="1:7" ht="15.75" customHeight="1">
      <c r="A52" s="3">
        <v>21601</v>
      </c>
      <c r="B52" s="4">
        <v>48</v>
      </c>
      <c r="C52" s="23">
        <f t="shared" si="4"/>
        <v>42.5</v>
      </c>
      <c r="D52" s="13">
        <f t="shared" si="0"/>
        <v>5.5</v>
      </c>
      <c r="E52" s="13">
        <f t="shared" si="1"/>
        <v>5.5</v>
      </c>
      <c r="F52" s="13">
        <f t="shared" si="2"/>
        <v>30.25</v>
      </c>
      <c r="G52" s="5">
        <f t="shared" si="3"/>
        <v>0.11458333333333333</v>
      </c>
    </row>
    <row r="53" spans="1:7" ht="15.75" customHeight="1">
      <c r="A53" s="3">
        <v>21602</v>
      </c>
      <c r="B53" s="4">
        <v>37</v>
      </c>
      <c r="C53" s="23">
        <f t="shared" si="4"/>
        <v>43.5</v>
      </c>
      <c r="D53" s="13">
        <f t="shared" si="0"/>
        <v>-6.5</v>
      </c>
      <c r="E53" s="13">
        <f t="shared" si="1"/>
        <v>6.5</v>
      </c>
      <c r="F53" s="13">
        <f t="shared" si="2"/>
        <v>42.25</v>
      </c>
      <c r="G53" s="5">
        <f t="shared" si="3"/>
        <v>0.17567567567567569</v>
      </c>
    </row>
    <row r="54" spans="1:7" ht="15.75" customHeight="1">
      <c r="A54" s="3">
        <v>21603</v>
      </c>
      <c r="B54" s="4">
        <v>35</v>
      </c>
      <c r="C54" s="23">
        <f t="shared" si="4"/>
        <v>42.5</v>
      </c>
      <c r="D54" s="13">
        <f t="shared" si="0"/>
        <v>-7.5</v>
      </c>
      <c r="E54" s="13">
        <f t="shared" si="1"/>
        <v>7.5</v>
      </c>
      <c r="F54" s="13">
        <f t="shared" si="2"/>
        <v>56.25</v>
      </c>
      <c r="G54" s="5">
        <f t="shared" si="3"/>
        <v>0.21428571428571427</v>
      </c>
    </row>
    <row r="55" spans="1:7" ht="15.75" customHeight="1">
      <c r="A55" s="3">
        <v>21604</v>
      </c>
      <c r="B55" s="4">
        <v>52</v>
      </c>
      <c r="C55" s="23">
        <f t="shared" si="4"/>
        <v>36</v>
      </c>
      <c r="D55" s="13">
        <f t="shared" si="0"/>
        <v>16</v>
      </c>
      <c r="E55" s="13">
        <f t="shared" si="1"/>
        <v>16</v>
      </c>
      <c r="F55" s="13">
        <f t="shared" si="2"/>
        <v>256</v>
      </c>
      <c r="G55" s="5">
        <f t="shared" si="3"/>
        <v>0.30769230769230771</v>
      </c>
    </row>
    <row r="56" spans="1:7" ht="15.75" customHeight="1">
      <c r="A56" s="3">
        <v>21605</v>
      </c>
      <c r="B56" s="4">
        <v>42</v>
      </c>
      <c r="C56" s="23">
        <f t="shared" si="4"/>
        <v>43.5</v>
      </c>
      <c r="D56" s="13">
        <f t="shared" si="0"/>
        <v>-1.5</v>
      </c>
      <c r="E56" s="13">
        <f t="shared" si="1"/>
        <v>1.5</v>
      </c>
      <c r="F56" s="13">
        <f t="shared" si="2"/>
        <v>2.25</v>
      </c>
      <c r="G56" s="5">
        <f t="shared" si="3"/>
        <v>3.5714285714285712E-2</v>
      </c>
    </row>
    <row r="57" spans="1:7" ht="15.75" customHeight="1">
      <c r="A57" s="3">
        <v>21606</v>
      </c>
      <c r="B57" s="4">
        <v>45</v>
      </c>
      <c r="C57" s="23">
        <f t="shared" si="4"/>
        <v>47</v>
      </c>
      <c r="D57" s="13">
        <f t="shared" si="0"/>
        <v>-2</v>
      </c>
      <c r="E57" s="13">
        <f t="shared" si="1"/>
        <v>2</v>
      </c>
      <c r="F57" s="13">
        <f t="shared" si="2"/>
        <v>4</v>
      </c>
      <c r="G57" s="5">
        <f t="shared" si="3"/>
        <v>4.4444444444444446E-2</v>
      </c>
    </row>
    <row r="58" spans="1:7" ht="15.75" customHeight="1">
      <c r="A58" s="3">
        <v>21607</v>
      </c>
      <c r="B58" s="4">
        <v>39</v>
      </c>
      <c r="C58" s="23">
        <f t="shared" si="4"/>
        <v>43.5</v>
      </c>
      <c r="D58" s="13">
        <f t="shared" si="0"/>
        <v>-4.5</v>
      </c>
      <c r="E58" s="13">
        <f t="shared" si="1"/>
        <v>4.5</v>
      </c>
      <c r="F58" s="13">
        <f t="shared" si="2"/>
        <v>20.25</v>
      </c>
      <c r="G58" s="5">
        <f t="shared" si="3"/>
        <v>0.11538461538461539</v>
      </c>
    </row>
    <row r="59" spans="1:7" ht="15.75" customHeight="1">
      <c r="A59" s="3">
        <v>21608</v>
      </c>
      <c r="B59" s="4">
        <v>37</v>
      </c>
      <c r="C59" s="23">
        <f t="shared" si="4"/>
        <v>42</v>
      </c>
      <c r="D59" s="13">
        <f t="shared" si="0"/>
        <v>-5</v>
      </c>
      <c r="E59" s="13">
        <f t="shared" si="1"/>
        <v>5</v>
      </c>
      <c r="F59" s="13">
        <f t="shared" si="2"/>
        <v>25</v>
      </c>
      <c r="G59" s="5">
        <f t="shared" si="3"/>
        <v>0.13513513513513514</v>
      </c>
    </row>
    <row r="60" spans="1:7" ht="15.75" customHeight="1">
      <c r="A60" s="3">
        <v>21609</v>
      </c>
      <c r="B60" s="4">
        <v>30</v>
      </c>
      <c r="C60" s="23">
        <f t="shared" si="4"/>
        <v>38</v>
      </c>
      <c r="D60" s="13">
        <f t="shared" si="0"/>
        <v>-8</v>
      </c>
      <c r="E60" s="13">
        <f t="shared" si="1"/>
        <v>8</v>
      </c>
      <c r="F60" s="13">
        <f t="shared" si="2"/>
        <v>64</v>
      </c>
      <c r="G60" s="5">
        <f t="shared" si="3"/>
        <v>0.26666666666666666</v>
      </c>
    </row>
    <row r="61" spans="1:7" ht="15.75" customHeight="1">
      <c r="A61" s="3">
        <v>21610</v>
      </c>
      <c r="B61" s="4">
        <v>35</v>
      </c>
      <c r="C61" s="23">
        <f t="shared" si="4"/>
        <v>33.5</v>
      </c>
      <c r="D61" s="13">
        <f t="shared" si="0"/>
        <v>1.5</v>
      </c>
      <c r="E61" s="13">
        <f t="shared" si="1"/>
        <v>1.5</v>
      </c>
      <c r="F61" s="13">
        <f t="shared" si="2"/>
        <v>2.25</v>
      </c>
      <c r="G61" s="5">
        <f t="shared" si="3"/>
        <v>4.2857142857142858E-2</v>
      </c>
    </row>
    <row r="62" spans="1:7" ht="15.75" customHeight="1">
      <c r="A62" s="3">
        <v>21611</v>
      </c>
      <c r="B62" s="4">
        <v>28</v>
      </c>
      <c r="C62" s="23">
        <f t="shared" si="4"/>
        <v>32.5</v>
      </c>
      <c r="D62" s="13">
        <f t="shared" si="0"/>
        <v>-4.5</v>
      </c>
      <c r="E62" s="13">
        <f t="shared" si="1"/>
        <v>4.5</v>
      </c>
      <c r="F62" s="13">
        <f t="shared" si="2"/>
        <v>20.25</v>
      </c>
      <c r="G62" s="5">
        <f t="shared" si="3"/>
        <v>0.16071428571428573</v>
      </c>
    </row>
    <row r="63" spans="1:7" ht="15.75" customHeight="1">
      <c r="A63" s="3">
        <v>21612</v>
      </c>
      <c r="B63" s="4">
        <v>45</v>
      </c>
      <c r="C63" s="23">
        <f t="shared" si="4"/>
        <v>31.5</v>
      </c>
      <c r="D63" s="13">
        <f t="shared" si="0"/>
        <v>13.5</v>
      </c>
      <c r="E63" s="13">
        <f t="shared" si="1"/>
        <v>13.5</v>
      </c>
      <c r="F63" s="13">
        <f t="shared" si="2"/>
        <v>182.25</v>
      </c>
      <c r="G63" s="5">
        <f t="shared" si="3"/>
        <v>0.3</v>
      </c>
    </row>
    <row r="64" spans="1:7" ht="15.75" customHeight="1">
      <c r="A64" s="3">
        <v>21613</v>
      </c>
      <c r="B64" s="4">
        <v>34</v>
      </c>
      <c r="C64" s="23">
        <f t="shared" si="4"/>
        <v>36.5</v>
      </c>
      <c r="D64" s="13">
        <f t="shared" si="0"/>
        <v>-2.5</v>
      </c>
      <c r="E64" s="13">
        <f t="shared" si="1"/>
        <v>2.5</v>
      </c>
      <c r="F64" s="13">
        <f t="shared" si="2"/>
        <v>6.25</v>
      </c>
      <c r="G64" s="5">
        <f t="shared" si="3"/>
        <v>7.3529411764705885E-2</v>
      </c>
    </row>
    <row r="65" spans="1:7" ht="15.75" customHeight="1">
      <c r="A65" s="3">
        <v>21614</v>
      </c>
      <c r="B65" s="4">
        <v>36</v>
      </c>
      <c r="C65" s="23">
        <f t="shared" si="4"/>
        <v>39.5</v>
      </c>
      <c r="D65" s="13">
        <f t="shared" si="0"/>
        <v>-3.5</v>
      </c>
      <c r="E65" s="13">
        <f t="shared" si="1"/>
        <v>3.5</v>
      </c>
      <c r="F65" s="13">
        <f t="shared" si="2"/>
        <v>12.25</v>
      </c>
      <c r="G65" s="5">
        <f t="shared" si="3"/>
        <v>9.7222222222222224E-2</v>
      </c>
    </row>
    <row r="66" spans="1:7" ht="15.75" customHeight="1">
      <c r="A66" s="3">
        <v>21615</v>
      </c>
      <c r="B66" s="4">
        <v>50</v>
      </c>
      <c r="C66" s="23">
        <f t="shared" si="4"/>
        <v>35</v>
      </c>
      <c r="D66" s="13">
        <f t="shared" si="0"/>
        <v>15</v>
      </c>
      <c r="E66" s="13">
        <f t="shared" si="1"/>
        <v>15</v>
      </c>
      <c r="F66" s="13">
        <f t="shared" si="2"/>
        <v>225</v>
      </c>
      <c r="G66" s="5">
        <f t="shared" si="3"/>
        <v>0.3</v>
      </c>
    </row>
    <row r="67" spans="1:7" ht="15.75" customHeight="1">
      <c r="A67" s="3">
        <v>21616</v>
      </c>
      <c r="B67" s="4">
        <v>44</v>
      </c>
      <c r="C67" s="23">
        <f t="shared" si="4"/>
        <v>43</v>
      </c>
      <c r="D67" s="13">
        <f t="shared" si="0"/>
        <v>1</v>
      </c>
      <c r="E67" s="13">
        <f t="shared" si="1"/>
        <v>1</v>
      </c>
      <c r="F67" s="13">
        <f t="shared" si="2"/>
        <v>1</v>
      </c>
      <c r="G67" s="5">
        <f t="shared" si="3"/>
        <v>2.2727272727272728E-2</v>
      </c>
    </row>
    <row r="68" spans="1:7" ht="15.75" customHeight="1">
      <c r="A68" s="3">
        <v>21617</v>
      </c>
      <c r="B68" s="4">
        <v>39</v>
      </c>
      <c r="C68" s="23">
        <f t="shared" si="4"/>
        <v>47</v>
      </c>
      <c r="D68" s="13">
        <f t="shared" si="0"/>
        <v>-8</v>
      </c>
      <c r="E68" s="13">
        <f t="shared" si="1"/>
        <v>8</v>
      </c>
      <c r="F68" s="13">
        <f t="shared" si="2"/>
        <v>64</v>
      </c>
      <c r="G68" s="5">
        <f t="shared" si="3"/>
        <v>0.20512820512820512</v>
      </c>
    </row>
    <row r="69" spans="1:7" ht="15.75" customHeight="1">
      <c r="A69" s="3">
        <v>21618</v>
      </c>
      <c r="B69" s="4">
        <v>32</v>
      </c>
      <c r="C69" s="23">
        <f t="shared" ref="C69:C132" si="5">AVERAGE(B67:B68)</f>
        <v>41.5</v>
      </c>
      <c r="D69" s="13">
        <f t="shared" ref="D69:D132" si="6">B69-C69</f>
        <v>-9.5</v>
      </c>
      <c r="E69" s="13">
        <f t="shared" ref="E69:E132" si="7">ABS(D69)</f>
        <v>9.5</v>
      </c>
      <c r="F69" s="13">
        <f t="shared" ref="F69:F132" si="8">E69^2</f>
        <v>90.25</v>
      </c>
      <c r="G69" s="5">
        <f t="shared" ref="G69:G132" si="9">E69/B69</f>
        <v>0.296875</v>
      </c>
    </row>
    <row r="70" spans="1:7" ht="15.75" customHeight="1">
      <c r="A70" s="3">
        <v>21619</v>
      </c>
      <c r="B70" s="4">
        <v>39</v>
      </c>
      <c r="C70" s="23">
        <f t="shared" si="5"/>
        <v>35.5</v>
      </c>
      <c r="D70" s="13">
        <f t="shared" si="6"/>
        <v>3.5</v>
      </c>
      <c r="E70" s="13">
        <f t="shared" si="7"/>
        <v>3.5</v>
      </c>
      <c r="F70" s="13">
        <f t="shared" si="8"/>
        <v>12.25</v>
      </c>
      <c r="G70" s="5">
        <f t="shared" si="9"/>
        <v>8.9743589743589744E-2</v>
      </c>
    </row>
    <row r="71" spans="1:7" ht="15.75" customHeight="1">
      <c r="A71" s="3">
        <v>21620</v>
      </c>
      <c r="B71" s="4">
        <v>45</v>
      </c>
      <c r="C71" s="23">
        <f t="shared" si="5"/>
        <v>35.5</v>
      </c>
      <c r="D71" s="13">
        <f t="shared" si="6"/>
        <v>9.5</v>
      </c>
      <c r="E71" s="13">
        <f t="shared" si="7"/>
        <v>9.5</v>
      </c>
      <c r="F71" s="13">
        <f t="shared" si="8"/>
        <v>90.25</v>
      </c>
      <c r="G71" s="5">
        <f t="shared" si="9"/>
        <v>0.21111111111111111</v>
      </c>
    </row>
    <row r="72" spans="1:7" ht="15.75" customHeight="1">
      <c r="A72" s="3">
        <v>21621</v>
      </c>
      <c r="B72" s="4">
        <v>43</v>
      </c>
      <c r="C72" s="23">
        <f t="shared" si="5"/>
        <v>42</v>
      </c>
      <c r="D72" s="13">
        <f t="shared" si="6"/>
        <v>1</v>
      </c>
      <c r="E72" s="13">
        <f t="shared" si="7"/>
        <v>1</v>
      </c>
      <c r="F72" s="13">
        <f t="shared" si="8"/>
        <v>1</v>
      </c>
      <c r="G72" s="5">
        <f t="shared" si="9"/>
        <v>2.3255813953488372E-2</v>
      </c>
    </row>
    <row r="73" spans="1:7" ht="15.75" customHeight="1">
      <c r="A73" s="3">
        <v>21622</v>
      </c>
      <c r="B73" s="4">
        <v>39</v>
      </c>
      <c r="C73" s="23">
        <f t="shared" si="5"/>
        <v>44</v>
      </c>
      <c r="D73" s="13">
        <f t="shared" si="6"/>
        <v>-5</v>
      </c>
      <c r="E73" s="13">
        <f t="shared" si="7"/>
        <v>5</v>
      </c>
      <c r="F73" s="13">
        <f t="shared" si="8"/>
        <v>25</v>
      </c>
      <c r="G73" s="5">
        <f t="shared" si="9"/>
        <v>0.12820512820512819</v>
      </c>
    </row>
    <row r="74" spans="1:7" ht="15.75" customHeight="1">
      <c r="A74" s="3">
        <v>21623</v>
      </c>
      <c r="B74" s="4">
        <v>31</v>
      </c>
      <c r="C74" s="23">
        <f t="shared" si="5"/>
        <v>41</v>
      </c>
      <c r="D74" s="13">
        <f t="shared" si="6"/>
        <v>-10</v>
      </c>
      <c r="E74" s="13">
        <f t="shared" si="7"/>
        <v>10</v>
      </c>
      <c r="F74" s="13">
        <f t="shared" si="8"/>
        <v>100</v>
      </c>
      <c r="G74" s="5">
        <f t="shared" si="9"/>
        <v>0.32258064516129031</v>
      </c>
    </row>
    <row r="75" spans="1:7" ht="15.75" customHeight="1">
      <c r="A75" s="3">
        <v>21624</v>
      </c>
      <c r="B75" s="4">
        <v>27</v>
      </c>
      <c r="C75" s="23">
        <f t="shared" si="5"/>
        <v>35</v>
      </c>
      <c r="D75" s="13">
        <f t="shared" si="6"/>
        <v>-8</v>
      </c>
      <c r="E75" s="13">
        <f t="shared" si="7"/>
        <v>8</v>
      </c>
      <c r="F75" s="13">
        <f t="shared" si="8"/>
        <v>64</v>
      </c>
      <c r="G75" s="5">
        <f t="shared" si="9"/>
        <v>0.29629629629629628</v>
      </c>
    </row>
    <row r="76" spans="1:7" ht="15.75" customHeight="1">
      <c r="A76" s="3">
        <v>21625</v>
      </c>
      <c r="B76" s="4">
        <v>30</v>
      </c>
      <c r="C76" s="23">
        <f t="shared" si="5"/>
        <v>29</v>
      </c>
      <c r="D76" s="13">
        <f t="shared" si="6"/>
        <v>1</v>
      </c>
      <c r="E76" s="13">
        <f t="shared" si="7"/>
        <v>1</v>
      </c>
      <c r="F76" s="13">
        <f t="shared" si="8"/>
        <v>1</v>
      </c>
      <c r="G76" s="5">
        <f t="shared" si="9"/>
        <v>3.3333333333333333E-2</v>
      </c>
    </row>
    <row r="77" spans="1:7" ht="15.75" customHeight="1">
      <c r="A77" s="3">
        <v>21626</v>
      </c>
      <c r="B77" s="4">
        <v>42</v>
      </c>
      <c r="C77" s="23">
        <f t="shared" si="5"/>
        <v>28.5</v>
      </c>
      <c r="D77" s="13">
        <f t="shared" si="6"/>
        <v>13.5</v>
      </c>
      <c r="E77" s="13">
        <f t="shared" si="7"/>
        <v>13.5</v>
      </c>
      <c r="F77" s="13">
        <f t="shared" si="8"/>
        <v>182.25</v>
      </c>
      <c r="G77" s="5">
        <f t="shared" si="9"/>
        <v>0.32142857142857145</v>
      </c>
    </row>
    <row r="78" spans="1:7" ht="15.75" customHeight="1">
      <c r="A78" s="3">
        <v>21627</v>
      </c>
      <c r="B78" s="4">
        <v>46</v>
      </c>
      <c r="C78" s="23">
        <f t="shared" si="5"/>
        <v>36</v>
      </c>
      <c r="D78" s="13">
        <f t="shared" si="6"/>
        <v>10</v>
      </c>
      <c r="E78" s="13">
        <f t="shared" si="7"/>
        <v>10</v>
      </c>
      <c r="F78" s="13">
        <f t="shared" si="8"/>
        <v>100</v>
      </c>
      <c r="G78" s="5">
        <f t="shared" si="9"/>
        <v>0.21739130434782608</v>
      </c>
    </row>
    <row r="79" spans="1:7" ht="15.75" customHeight="1">
      <c r="A79" s="3">
        <v>21628</v>
      </c>
      <c r="B79" s="4">
        <v>41</v>
      </c>
      <c r="C79" s="23">
        <f t="shared" si="5"/>
        <v>44</v>
      </c>
      <c r="D79" s="13">
        <f t="shared" si="6"/>
        <v>-3</v>
      </c>
      <c r="E79" s="13">
        <f t="shared" si="7"/>
        <v>3</v>
      </c>
      <c r="F79" s="13">
        <f t="shared" si="8"/>
        <v>9</v>
      </c>
      <c r="G79" s="5">
        <f t="shared" si="9"/>
        <v>7.3170731707317069E-2</v>
      </c>
    </row>
    <row r="80" spans="1:7" ht="15.75" customHeight="1">
      <c r="A80" s="3">
        <v>21629</v>
      </c>
      <c r="B80" s="4">
        <v>36</v>
      </c>
      <c r="C80" s="23">
        <f t="shared" si="5"/>
        <v>43.5</v>
      </c>
      <c r="D80" s="13">
        <f t="shared" si="6"/>
        <v>-7.5</v>
      </c>
      <c r="E80" s="13">
        <f t="shared" si="7"/>
        <v>7.5</v>
      </c>
      <c r="F80" s="13">
        <f t="shared" si="8"/>
        <v>56.25</v>
      </c>
      <c r="G80" s="5">
        <f t="shared" si="9"/>
        <v>0.20833333333333334</v>
      </c>
    </row>
    <row r="81" spans="1:7" ht="15.75" customHeight="1">
      <c r="A81" s="3">
        <v>21630</v>
      </c>
      <c r="B81" s="4">
        <v>45</v>
      </c>
      <c r="C81" s="23">
        <f t="shared" si="5"/>
        <v>38.5</v>
      </c>
      <c r="D81" s="13">
        <f t="shared" si="6"/>
        <v>6.5</v>
      </c>
      <c r="E81" s="13">
        <f t="shared" si="7"/>
        <v>6.5</v>
      </c>
      <c r="F81" s="13">
        <f t="shared" si="8"/>
        <v>42.25</v>
      </c>
      <c r="G81" s="5">
        <f t="shared" si="9"/>
        <v>0.14444444444444443</v>
      </c>
    </row>
    <row r="82" spans="1:7" ht="15.75" customHeight="1">
      <c r="A82" s="3">
        <v>21631</v>
      </c>
      <c r="B82" s="4">
        <v>46</v>
      </c>
      <c r="C82" s="23">
        <f t="shared" si="5"/>
        <v>40.5</v>
      </c>
      <c r="D82" s="13">
        <f t="shared" si="6"/>
        <v>5.5</v>
      </c>
      <c r="E82" s="13">
        <f t="shared" si="7"/>
        <v>5.5</v>
      </c>
      <c r="F82" s="13">
        <f t="shared" si="8"/>
        <v>30.25</v>
      </c>
      <c r="G82" s="5">
        <f t="shared" si="9"/>
        <v>0.11956521739130435</v>
      </c>
    </row>
    <row r="83" spans="1:7" ht="15.75" customHeight="1">
      <c r="A83" s="3">
        <v>21632</v>
      </c>
      <c r="B83" s="4">
        <v>43</v>
      </c>
      <c r="C83" s="23">
        <f t="shared" si="5"/>
        <v>45.5</v>
      </c>
      <c r="D83" s="13">
        <f t="shared" si="6"/>
        <v>-2.5</v>
      </c>
      <c r="E83" s="13">
        <f t="shared" si="7"/>
        <v>2.5</v>
      </c>
      <c r="F83" s="13">
        <f t="shared" si="8"/>
        <v>6.25</v>
      </c>
      <c r="G83" s="5">
        <f t="shared" si="9"/>
        <v>5.8139534883720929E-2</v>
      </c>
    </row>
    <row r="84" spans="1:7" ht="15.75" customHeight="1">
      <c r="A84" s="3">
        <v>21633</v>
      </c>
      <c r="B84" s="4">
        <v>38</v>
      </c>
      <c r="C84" s="23">
        <f t="shared" si="5"/>
        <v>44.5</v>
      </c>
      <c r="D84" s="13">
        <f t="shared" si="6"/>
        <v>-6.5</v>
      </c>
      <c r="E84" s="13">
        <f t="shared" si="7"/>
        <v>6.5</v>
      </c>
      <c r="F84" s="13">
        <f t="shared" si="8"/>
        <v>42.25</v>
      </c>
      <c r="G84" s="5">
        <f t="shared" si="9"/>
        <v>0.17105263157894737</v>
      </c>
    </row>
    <row r="85" spans="1:7" ht="15.75" customHeight="1">
      <c r="A85" s="3">
        <v>21634</v>
      </c>
      <c r="B85" s="4">
        <v>34</v>
      </c>
      <c r="C85" s="23">
        <f t="shared" si="5"/>
        <v>40.5</v>
      </c>
      <c r="D85" s="13">
        <f t="shared" si="6"/>
        <v>-6.5</v>
      </c>
      <c r="E85" s="13">
        <f t="shared" si="7"/>
        <v>6.5</v>
      </c>
      <c r="F85" s="13">
        <f t="shared" si="8"/>
        <v>42.25</v>
      </c>
      <c r="G85" s="5">
        <f t="shared" si="9"/>
        <v>0.19117647058823528</v>
      </c>
    </row>
    <row r="86" spans="1:7" ht="15.75" customHeight="1">
      <c r="A86" s="3">
        <v>21635</v>
      </c>
      <c r="B86" s="4">
        <v>35</v>
      </c>
      <c r="C86" s="23">
        <f t="shared" si="5"/>
        <v>36</v>
      </c>
      <c r="D86" s="13">
        <f t="shared" si="6"/>
        <v>-1</v>
      </c>
      <c r="E86" s="13">
        <f t="shared" si="7"/>
        <v>1</v>
      </c>
      <c r="F86" s="13">
        <f t="shared" si="8"/>
        <v>1</v>
      </c>
      <c r="G86" s="5">
        <f t="shared" si="9"/>
        <v>2.8571428571428571E-2</v>
      </c>
    </row>
    <row r="87" spans="1:7" ht="15.75" customHeight="1">
      <c r="A87" s="3">
        <v>21636</v>
      </c>
      <c r="B87" s="4">
        <v>56</v>
      </c>
      <c r="C87" s="23">
        <f t="shared" si="5"/>
        <v>34.5</v>
      </c>
      <c r="D87" s="13">
        <f t="shared" si="6"/>
        <v>21.5</v>
      </c>
      <c r="E87" s="13">
        <f t="shared" si="7"/>
        <v>21.5</v>
      </c>
      <c r="F87" s="13">
        <f t="shared" si="8"/>
        <v>462.25</v>
      </c>
      <c r="G87" s="5">
        <f t="shared" si="9"/>
        <v>0.38392857142857145</v>
      </c>
    </row>
    <row r="88" spans="1:7" ht="15.75" customHeight="1">
      <c r="A88" s="3">
        <v>21637</v>
      </c>
      <c r="B88" s="4">
        <v>36</v>
      </c>
      <c r="C88" s="23">
        <f t="shared" si="5"/>
        <v>45.5</v>
      </c>
      <c r="D88" s="13">
        <f t="shared" si="6"/>
        <v>-9.5</v>
      </c>
      <c r="E88" s="13">
        <f t="shared" si="7"/>
        <v>9.5</v>
      </c>
      <c r="F88" s="13">
        <f t="shared" si="8"/>
        <v>90.25</v>
      </c>
      <c r="G88" s="5">
        <f t="shared" si="9"/>
        <v>0.2638888888888889</v>
      </c>
    </row>
    <row r="89" spans="1:7" ht="15.75" customHeight="1">
      <c r="A89" s="3">
        <v>21638</v>
      </c>
      <c r="B89" s="4">
        <v>32</v>
      </c>
      <c r="C89" s="23">
        <f t="shared" si="5"/>
        <v>46</v>
      </c>
      <c r="D89" s="13">
        <f t="shared" si="6"/>
        <v>-14</v>
      </c>
      <c r="E89" s="13">
        <f t="shared" si="7"/>
        <v>14</v>
      </c>
      <c r="F89" s="13">
        <f t="shared" si="8"/>
        <v>196</v>
      </c>
      <c r="G89" s="5">
        <f t="shared" si="9"/>
        <v>0.4375</v>
      </c>
    </row>
    <row r="90" spans="1:7" ht="15.75" customHeight="1">
      <c r="A90" s="3">
        <v>21639</v>
      </c>
      <c r="B90" s="4">
        <v>50</v>
      </c>
      <c r="C90" s="23">
        <f t="shared" si="5"/>
        <v>34</v>
      </c>
      <c r="D90" s="13">
        <f t="shared" si="6"/>
        <v>16</v>
      </c>
      <c r="E90" s="13">
        <f t="shared" si="7"/>
        <v>16</v>
      </c>
      <c r="F90" s="13">
        <f t="shared" si="8"/>
        <v>256</v>
      </c>
      <c r="G90" s="5">
        <f t="shared" si="9"/>
        <v>0.32</v>
      </c>
    </row>
    <row r="91" spans="1:7" ht="15.75" customHeight="1">
      <c r="A91" s="3">
        <v>21640</v>
      </c>
      <c r="B91" s="4">
        <v>41</v>
      </c>
      <c r="C91" s="23">
        <f t="shared" si="5"/>
        <v>41</v>
      </c>
      <c r="D91" s="13">
        <f t="shared" si="6"/>
        <v>0</v>
      </c>
      <c r="E91" s="13">
        <f t="shared" si="7"/>
        <v>0</v>
      </c>
      <c r="F91" s="13">
        <f t="shared" si="8"/>
        <v>0</v>
      </c>
      <c r="G91" s="5">
        <f t="shared" si="9"/>
        <v>0</v>
      </c>
    </row>
    <row r="92" spans="1:7" ht="15.75" customHeight="1">
      <c r="A92" s="3">
        <v>21641</v>
      </c>
      <c r="B92" s="4">
        <v>39</v>
      </c>
      <c r="C92" s="23">
        <f t="shared" si="5"/>
        <v>45.5</v>
      </c>
      <c r="D92" s="13">
        <f t="shared" si="6"/>
        <v>-6.5</v>
      </c>
      <c r="E92" s="13">
        <f t="shared" si="7"/>
        <v>6.5</v>
      </c>
      <c r="F92" s="13">
        <f t="shared" si="8"/>
        <v>42.25</v>
      </c>
      <c r="G92" s="5">
        <f t="shared" si="9"/>
        <v>0.16666666666666666</v>
      </c>
    </row>
    <row r="93" spans="1:7" ht="15.75" customHeight="1">
      <c r="A93" s="3">
        <v>21642</v>
      </c>
      <c r="B93" s="4">
        <v>41</v>
      </c>
      <c r="C93" s="23">
        <f t="shared" si="5"/>
        <v>40</v>
      </c>
      <c r="D93" s="13">
        <f t="shared" si="6"/>
        <v>1</v>
      </c>
      <c r="E93" s="13">
        <f t="shared" si="7"/>
        <v>1</v>
      </c>
      <c r="F93" s="13">
        <f t="shared" si="8"/>
        <v>1</v>
      </c>
      <c r="G93" s="5">
        <f t="shared" si="9"/>
        <v>2.4390243902439025E-2</v>
      </c>
    </row>
    <row r="94" spans="1:7" ht="15.75" customHeight="1">
      <c r="A94" s="3">
        <v>21643</v>
      </c>
      <c r="B94" s="4">
        <v>47</v>
      </c>
      <c r="C94" s="23">
        <f t="shared" si="5"/>
        <v>40</v>
      </c>
      <c r="D94" s="13">
        <f t="shared" si="6"/>
        <v>7</v>
      </c>
      <c r="E94" s="13">
        <f t="shared" si="7"/>
        <v>7</v>
      </c>
      <c r="F94" s="13">
        <f t="shared" si="8"/>
        <v>49</v>
      </c>
      <c r="G94" s="5">
        <f t="shared" si="9"/>
        <v>0.14893617021276595</v>
      </c>
    </row>
    <row r="95" spans="1:7" ht="15.75" customHeight="1">
      <c r="A95" s="3">
        <v>21644</v>
      </c>
      <c r="B95" s="4">
        <v>34</v>
      </c>
      <c r="C95" s="23">
        <f t="shared" si="5"/>
        <v>44</v>
      </c>
      <c r="D95" s="13">
        <f t="shared" si="6"/>
        <v>-10</v>
      </c>
      <c r="E95" s="13">
        <f t="shared" si="7"/>
        <v>10</v>
      </c>
      <c r="F95" s="13">
        <f t="shared" si="8"/>
        <v>100</v>
      </c>
      <c r="G95" s="5">
        <f t="shared" si="9"/>
        <v>0.29411764705882354</v>
      </c>
    </row>
    <row r="96" spans="1:7" ht="15.75" customHeight="1">
      <c r="A96" s="3">
        <v>21645</v>
      </c>
      <c r="B96" s="4">
        <v>36</v>
      </c>
      <c r="C96" s="23">
        <f t="shared" si="5"/>
        <v>40.5</v>
      </c>
      <c r="D96" s="13">
        <f t="shared" si="6"/>
        <v>-4.5</v>
      </c>
      <c r="E96" s="13">
        <f t="shared" si="7"/>
        <v>4.5</v>
      </c>
      <c r="F96" s="13">
        <f t="shared" si="8"/>
        <v>20.25</v>
      </c>
      <c r="G96" s="5">
        <f t="shared" si="9"/>
        <v>0.125</v>
      </c>
    </row>
    <row r="97" spans="1:7" ht="15.75" customHeight="1">
      <c r="A97" s="3">
        <v>21646</v>
      </c>
      <c r="B97" s="4">
        <v>33</v>
      </c>
      <c r="C97" s="23">
        <f t="shared" si="5"/>
        <v>35</v>
      </c>
      <c r="D97" s="13">
        <f t="shared" si="6"/>
        <v>-2</v>
      </c>
      <c r="E97" s="13">
        <f t="shared" si="7"/>
        <v>2</v>
      </c>
      <c r="F97" s="13">
        <f t="shared" si="8"/>
        <v>4</v>
      </c>
      <c r="G97" s="5">
        <f t="shared" si="9"/>
        <v>6.0606060606060608E-2</v>
      </c>
    </row>
    <row r="98" spans="1:7" ht="15.75" customHeight="1">
      <c r="A98" s="3">
        <v>21647</v>
      </c>
      <c r="B98" s="4">
        <v>35</v>
      </c>
      <c r="C98" s="23">
        <f t="shared" si="5"/>
        <v>34.5</v>
      </c>
      <c r="D98" s="13">
        <f t="shared" si="6"/>
        <v>0.5</v>
      </c>
      <c r="E98" s="13">
        <f t="shared" si="7"/>
        <v>0.5</v>
      </c>
      <c r="F98" s="13">
        <f t="shared" si="8"/>
        <v>0.25</v>
      </c>
      <c r="G98" s="5">
        <f t="shared" si="9"/>
        <v>1.4285714285714285E-2</v>
      </c>
    </row>
    <row r="99" spans="1:7" ht="15.75" customHeight="1">
      <c r="A99" s="3">
        <v>21648</v>
      </c>
      <c r="B99" s="4">
        <v>38</v>
      </c>
      <c r="C99" s="23">
        <f t="shared" si="5"/>
        <v>34</v>
      </c>
      <c r="D99" s="13">
        <f t="shared" si="6"/>
        <v>4</v>
      </c>
      <c r="E99" s="13">
        <f t="shared" si="7"/>
        <v>4</v>
      </c>
      <c r="F99" s="13">
        <f t="shared" si="8"/>
        <v>16</v>
      </c>
      <c r="G99" s="5">
        <f t="shared" si="9"/>
        <v>0.10526315789473684</v>
      </c>
    </row>
    <row r="100" spans="1:7" ht="15.75" customHeight="1">
      <c r="A100" s="3">
        <v>21649</v>
      </c>
      <c r="B100" s="4">
        <v>38</v>
      </c>
      <c r="C100" s="23">
        <f t="shared" si="5"/>
        <v>36.5</v>
      </c>
      <c r="D100" s="13">
        <f t="shared" si="6"/>
        <v>1.5</v>
      </c>
      <c r="E100" s="13">
        <f t="shared" si="7"/>
        <v>1.5</v>
      </c>
      <c r="F100" s="13">
        <f t="shared" si="8"/>
        <v>2.25</v>
      </c>
      <c r="G100" s="5">
        <f t="shared" si="9"/>
        <v>3.9473684210526314E-2</v>
      </c>
    </row>
    <row r="101" spans="1:7" ht="15.75" customHeight="1">
      <c r="A101" s="3">
        <v>21650</v>
      </c>
      <c r="B101" s="4">
        <v>34</v>
      </c>
      <c r="C101" s="23">
        <f t="shared" si="5"/>
        <v>38</v>
      </c>
      <c r="D101" s="13">
        <f t="shared" si="6"/>
        <v>-4</v>
      </c>
      <c r="E101" s="13">
        <f t="shared" si="7"/>
        <v>4</v>
      </c>
      <c r="F101" s="13">
        <f t="shared" si="8"/>
        <v>16</v>
      </c>
      <c r="G101" s="5">
        <f t="shared" si="9"/>
        <v>0.11764705882352941</v>
      </c>
    </row>
    <row r="102" spans="1:7" ht="15.75" customHeight="1">
      <c r="A102" s="3">
        <v>21651</v>
      </c>
      <c r="B102" s="4">
        <v>53</v>
      </c>
      <c r="C102" s="23">
        <f t="shared" si="5"/>
        <v>36</v>
      </c>
      <c r="D102" s="13">
        <f t="shared" si="6"/>
        <v>17</v>
      </c>
      <c r="E102" s="13">
        <f t="shared" si="7"/>
        <v>17</v>
      </c>
      <c r="F102" s="13">
        <f t="shared" si="8"/>
        <v>289</v>
      </c>
      <c r="G102" s="5">
        <f t="shared" si="9"/>
        <v>0.32075471698113206</v>
      </c>
    </row>
    <row r="103" spans="1:7" ht="15.75" customHeight="1">
      <c r="A103" s="3">
        <v>21652</v>
      </c>
      <c r="B103" s="4">
        <v>34</v>
      </c>
      <c r="C103" s="23">
        <f t="shared" si="5"/>
        <v>43.5</v>
      </c>
      <c r="D103" s="13">
        <f t="shared" si="6"/>
        <v>-9.5</v>
      </c>
      <c r="E103" s="13">
        <f t="shared" si="7"/>
        <v>9.5</v>
      </c>
      <c r="F103" s="13">
        <f t="shared" si="8"/>
        <v>90.25</v>
      </c>
      <c r="G103" s="5">
        <f t="shared" si="9"/>
        <v>0.27941176470588236</v>
      </c>
    </row>
    <row r="104" spans="1:7" ht="15.75" customHeight="1">
      <c r="A104" s="3">
        <v>21653</v>
      </c>
      <c r="B104" s="4">
        <v>34</v>
      </c>
      <c r="C104" s="23">
        <f t="shared" si="5"/>
        <v>43.5</v>
      </c>
      <c r="D104" s="13">
        <f t="shared" si="6"/>
        <v>-9.5</v>
      </c>
      <c r="E104" s="13">
        <f t="shared" si="7"/>
        <v>9.5</v>
      </c>
      <c r="F104" s="13">
        <f t="shared" si="8"/>
        <v>90.25</v>
      </c>
      <c r="G104" s="5">
        <f t="shared" si="9"/>
        <v>0.27941176470588236</v>
      </c>
    </row>
    <row r="105" spans="1:7" ht="15.75" customHeight="1">
      <c r="A105" s="3">
        <v>21654</v>
      </c>
      <c r="B105" s="4">
        <v>38</v>
      </c>
      <c r="C105" s="23">
        <f t="shared" si="5"/>
        <v>34</v>
      </c>
      <c r="D105" s="13">
        <f t="shared" si="6"/>
        <v>4</v>
      </c>
      <c r="E105" s="13">
        <f t="shared" si="7"/>
        <v>4</v>
      </c>
      <c r="F105" s="13">
        <f t="shared" si="8"/>
        <v>16</v>
      </c>
      <c r="G105" s="5">
        <f t="shared" si="9"/>
        <v>0.10526315789473684</v>
      </c>
    </row>
    <row r="106" spans="1:7" ht="15.75" customHeight="1">
      <c r="A106" s="3">
        <v>21655</v>
      </c>
      <c r="B106" s="4">
        <v>35</v>
      </c>
      <c r="C106" s="23">
        <f t="shared" si="5"/>
        <v>36</v>
      </c>
      <c r="D106" s="13">
        <f t="shared" si="6"/>
        <v>-1</v>
      </c>
      <c r="E106" s="13">
        <f t="shared" si="7"/>
        <v>1</v>
      </c>
      <c r="F106" s="13">
        <f t="shared" si="8"/>
        <v>1</v>
      </c>
      <c r="G106" s="5">
        <f t="shared" si="9"/>
        <v>2.8571428571428571E-2</v>
      </c>
    </row>
    <row r="107" spans="1:7" ht="15.75" customHeight="1">
      <c r="A107" s="3">
        <v>21656</v>
      </c>
      <c r="B107" s="4">
        <v>32</v>
      </c>
      <c r="C107" s="23">
        <f t="shared" si="5"/>
        <v>36.5</v>
      </c>
      <c r="D107" s="13">
        <f t="shared" si="6"/>
        <v>-4.5</v>
      </c>
      <c r="E107" s="13">
        <f t="shared" si="7"/>
        <v>4.5</v>
      </c>
      <c r="F107" s="13">
        <f t="shared" si="8"/>
        <v>20.25</v>
      </c>
      <c r="G107" s="5">
        <f t="shared" si="9"/>
        <v>0.140625</v>
      </c>
    </row>
    <row r="108" spans="1:7" ht="15.75" customHeight="1">
      <c r="A108" s="3">
        <v>21657</v>
      </c>
      <c r="B108" s="4">
        <v>42</v>
      </c>
      <c r="C108" s="23">
        <f t="shared" si="5"/>
        <v>33.5</v>
      </c>
      <c r="D108" s="13">
        <f t="shared" si="6"/>
        <v>8.5</v>
      </c>
      <c r="E108" s="13">
        <f t="shared" si="7"/>
        <v>8.5</v>
      </c>
      <c r="F108" s="13">
        <f t="shared" si="8"/>
        <v>72.25</v>
      </c>
      <c r="G108" s="5">
        <f t="shared" si="9"/>
        <v>0.20238095238095238</v>
      </c>
    </row>
    <row r="109" spans="1:7" ht="15.75" customHeight="1">
      <c r="A109" s="3">
        <v>21658</v>
      </c>
      <c r="B109" s="4">
        <v>34</v>
      </c>
      <c r="C109" s="23">
        <f t="shared" si="5"/>
        <v>37</v>
      </c>
      <c r="D109" s="13">
        <f t="shared" si="6"/>
        <v>-3</v>
      </c>
      <c r="E109" s="13">
        <f t="shared" si="7"/>
        <v>3</v>
      </c>
      <c r="F109" s="13">
        <f t="shared" si="8"/>
        <v>9</v>
      </c>
      <c r="G109" s="5">
        <f t="shared" si="9"/>
        <v>8.8235294117647065E-2</v>
      </c>
    </row>
    <row r="110" spans="1:7" ht="15.75" customHeight="1">
      <c r="A110" s="3">
        <v>21659</v>
      </c>
      <c r="B110" s="4">
        <v>46</v>
      </c>
      <c r="C110" s="23">
        <f t="shared" si="5"/>
        <v>38</v>
      </c>
      <c r="D110" s="13">
        <f t="shared" si="6"/>
        <v>8</v>
      </c>
      <c r="E110" s="13">
        <f t="shared" si="7"/>
        <v>8</v>
      </c>
      <c r="F110" s="13">
        <f t="shared" si="8"/>
        <v>64</v>
      </c>
      <c r="G110" s="5">
        <f t="shared" si="9"/>
        <v>0.17391304347826086</v>
      </c>
    </row>
    <row r="111" spans="1:7" ht="15.75" customHeight="1">
      <c r="A111" s="3">
        <v>21660</v>
      </c>
      <c r="B111" s="4">
        <v>30</v>
      </c>
      <c r="C111" s="23">
        <f t="shared" si="5"/>
        <v>40</v>
      </c>
      <c r="D111" s="13">
        <f t="shared" si="6"/>
        <v>-10</v>
      </c>
      <c r="E111" s="13">
        <f t="shared" si="7"/>
        <v>10</v>
      </c>
      <c r="F111" s="13">
        <f t="shared" si="8"/>
        <v>100</v>
      </c>
      <c r="G111" s="5">
        <f t="shared" si="9"/>
        <v>0.33333333333333331</v>
      </c>
    </row>
    <row r="112" spans="1:7" ht="15.75" customHeight="1">
      <c r="A112" s="3">
        <v>21661</v>
      </c>
      <c r="B112" s="4">
        <v>46</v>
      </c>
      <c r="C112" s="23">
        <f t="shared" si="5"/>
        <v>38</v>
      </c>
      <c r="D112" s="13">
        <f t="shared" si="6"/>
        <v>8</v>
      </c>
      <c r="E112" s="13">
        <f t="shared" si="7"/>
        <v>8</v>
      </c>
      <c r="F112" s="13">
        <f t="shared" si="8"/>
        <v>64</v>
      </c>
      <c r="G112" s="5">
        <f t="shared" si="9"/>
        <v>0.17391304347826086</v>
      </c>
    </row>
    <row r="113" spans="1:7" ht="15.75" customHeight="1">
      <c r="A113" s="3">
        <v>21662</v>
      </c>
      <c r="B113" s="4">
        <v>45</v>
      </c>
      <c r="C113" s="23">
        <f t="shared" si="5"/>
        <v>38</v>
      </c>
      <c r="D113" s="13">
        <f t="shared" si="6"/>
        <v>7</v>
      </c>
      <c r="E113" s="13">
        <f t="shared" si="7"/>
        <v>7</v>
      </c>
      <c r="F113" s="13">
        <f t="shared" si="8"/>
        <v>49</v>
      </c>
      <c r="G113" s="5">
        <f t="shared" si="9"/>
        <v>0.15555555555555556</v>
      </c>
    </row>
    <row r="114" spans="1:7" ht="15.75" customHeight="1">
      <c r="A114" s="3">
        <v>21663</v>
      </c>
      <c r="B114" s="4">
        <v>54</v>
      </c>
      <c r="C114" s="23">
        <f t="shared" si="5"/>
        <v>45.5</v>
      </c>
      <c r="D114" s="13">
        <f t="shared" si="6"/>
        <v>8.5</v>
      </c>
      <c r="E114" s="13">
        <f t="shared" si="7"/>
        <v>8.5</v>
      </c>
      <c r="F114" s="13">
        <f t="shared" si="8"/>
        <v>72.25</v>
      </c>
      <c r="G114" s="5">
        <f t="shared" si="9"/>
        <v>0.15740740740740741</v>
      </c>
    </row>
    <row r="115" spans="1:7" ht="15.75" customHeight="1">
      <c r="A115" s="3">
        <v>21664</v>
      </c>
      <c r="B115" s="4">
        <v>34</v>
      </c>
      <c r="C115" s="23">
        <f t="shared" si="5"/>
        <v>49.5</v>
      </c>
      <c r="D115" s="13">
        <f t="shared" si="6"/>
        <v>-15.5</v>
      </c>
      <c r="E115" s="13">
        <f t="shared" si="7"/>
        <v>15.5</v>
      </c>
      <c r="F115" s="13">
        <f t="shared" si="8"/>
        <v>240.25</v>
      </c>
      <c r="G115" s="5">
        <f t="shared" si="9"/>
        <v>0.45588235294117646</v>
      </c>
    </row>
    <row r="116" spans="1:7" ht="15.75" customHeight="1">
      <c r="A116" s="3">
        <v>21665</v>
      </c>
      <c r="B116" s="4">
        <v>37</v>
      </c>
      <c r="C116" s="23">
        <f t="shared" si="5"/>
        <v>44</v>
      </c>
      <c r="D116" s="13">
        <f t="shared" si="6"/>
        <v>-7</v>
      </c>
      <c r="E116" s="13">
        <f t="shared" si="7"/>
        <v>7</v>
      </c>
      <c r="F116" s="13">
        <f t="shared" si="8"/>
        <v>49</v>
      </c>
      <c r="G116" s="5">
        <f t="shared" si="9"/>
        <v>0.1891891891891892</v>
      </c>
    </row>
    <row r="117" spans="1:7" ht="15.75" customHeight="1">
      <c r="A117" s="3">
        <v>21666</v>
      </c>
      <c r="B117" s="4">
        <v>35</v>
      </c>
      <c r="C117" s="23">
        <f t="shared" si="5"/>
        <v>35.5</v>
      </c>
      <c r="D117" s="13">
        <f t="shared" si="6"/>
        <v>-0.5</v>
      </c>
      <c r="E117" s="13">
        <f t="shared" si="7"/>
        <v>0.5</v>
      </c>
      <c r="F117" s="13">
        <f t="shared" si="8"/>
        <v>0.25</v>
      </c>
      <c r="G117" s="5">
        <f t="shared" si="9"/>
        <v>1.4285714285714285E-2</v>
      </c>
    </row>
    <row r="118" spans="1:7" ht="15.75" customHeight="1">
      <c r="A118" s="3">
        <v>21667</v>
      </c>
      <c r="B118" s="4">
        <v>40</v>
      </c>
      <c r="C118" s="23">
        <f t="shared" si="5"/>
        <v>36</v>
      </c>
      <c r="D118" s="13">
        <f t="shared" si="6"/>
        <v>4</v>
      </c>
      <c r="E118" s="13">
        <f t="shared" si="7"/>
        <v>4</v>
      </c>
      <c r="F118" s="13">
        <f t="shared" si="8"/>
        <v>16</v>
      </c>
      <c r="G118" s="5">
        <f t="shared" si="9"/>
        <v>0.1</v>
      </c>
    </row>
    <row r="119" spans="1:7" ht="15.75" customHeight="1">
      <c r="A119" s="3">
        <v>21668</v>
      </c>
      <c r="B119" s="4">
        <v>42</v>
      </c>
      <c r="C119" s="23">
        <f t="shared" si="5"/>
        <v>37.5</v>
      </c>
      <c r="D119" s="13">
        <f t="shared" si="6"/>
        <v>4.5</v>
      </c>
      <c r="E119" s="13">
        <f t="shared" si="7"/>
        <v>4.5</v>
      </c>
      <c r="F119" s="13">
        <f t="shared" si="8"/>
        <v>20.25</v>
      </c>
      <c r="G119" s="5">
        <f t="shared" si="9"/>
        <v>0.10714285714285714</v>
      </c>
    </row>
    <row r="120" spans="1:7" ht="15.75" customHeight="1">
      <c r="A120" s="3">
        <v>21669</v>
      </c>
      <c r="B120" s="4">
        <v>58</v>
      </c>
      <c r="C120" s="23">
        <f t="shared" si="5"/>
        <v>41</v>
      </c>
      <c r="D120" s="13">
        <f t="shared" si="6"/>
        <v>17</v>
      </c>
      <c r="E120" s="13">
        <f t="shared" si="7"/>
        <v>17</v>
      </c>
      <c r="F120" s="13">
        <f t="shared" si="8"/>
        <v>289</v>
      </c>
      <c r="G120" s="5">
        <f t="shared" si="9"/>
        <v>0.29310344827586204</v>
      </c>
    </row>
    <row r="121" spans="1:7" ht="15.75" customHeight="1">
      <c r="A121" s="3">
        <v>21670</v>
      </c>
      <c r="B121" s="4">
        <v>51</v>
      </c>
      <c r="C121" s="23">
        <f t="shared" si="5"/>
        <v>50</v>
      </c>
      <c r="D121" s="13">
        <f t="shared" si="6"/>
        <v>1</v>
      </c>
      <c r="E121" s="13">
        <f t="shared" si="7"/>
        <v>1</v>
      </c>
      <c r="F121" s="13">
        <f t="shared" si="8"/>
        <v>1</v>
      </c>
      <c r="G121" s="5">
        <f t="shared" si="9"/>
        <v>1.9607843137254902E-2</v>
      </c>
    </row>
    <row r="122" spans="1:7" ht="15.75" customHeight="1">
      <c r="A122" s="3">
        <v>21671</v>
      </c>
      <c r="B122" s="4">
        <v>32</v>
      </c>
      <c r="C122" s="23">
        <f t="shared" si="5"/>
        <v>54.5</v>
      </c>
      <c r="D122" s="13">
        <f t="shared" si="6"/>
        <v>-22.5</v>
      </c>
      <c r="E122" s="13">
        <f t="shared" si="7"/>
        <v>22.5</v>
      </c>
      <c r="F122" s="13">
        <f t="shared" si="8"/>
        <v>506.25</v>
      </c>
      <c r="G122" s="5">
        <f t="shared" si="9"/>
        <v>0.703125</v>
      </c>
    </row>
    <row r="123" spans="1:7" ht="15.75" customHeight="1">
      <c r="A123" s="3">
        <v>21672</v>
      </c>
      <c r="B123" s="4">
        <v>35</v>
      </c>
      <c r="C123" s="23">
        <f t="shared" si="5"/>
        <v>41.5</v>
      </c>
      <c r="D123" s="13">
        <f t="shared" si="6"/>
        <v>-6.5</v>
      </c>
      <c r="E123" s="13">
        <f t="shared" si="7"/>
        <v>6.5</v>
      </c>
      <c r="F123" s="13">
        <f t="shared" si="8"/>
        <v>42.25</v>
      </c>
      <c r="G123" s="5">
        <f t="shared" si="9"/>
        <v>0.18571428571428572</v>
      </c>
    </row>
    <row r="124" spans="1:7" ht="15.75" customHeight="1">
      <c r="A124" s="3">
        <v>21673</v>
      </c>
      <c r="B124" s="4">
        <v>38</v>
      </c>
      <c r="C124" s="23">
        <f t="shared" si="5"/>
        <v>33.5</v>
      </c>
      <c r="D124" s="13">
        <f t="shared" si="6"/>
        <v>4.5</v>
      </c>
      <c r="E124" s="13">
        <f t="shared" si="7"/>
        <v>4.5</v>
      </c>
      <c r="F124" s="13">
        <f t="shared" si="8"/>
        <v>20.25</v>
      </c>
      <c r="G124" s="5">
        <f t="shared" si="9"/>
        <v>0.11842105263157894</v>
      </c>
    </row>
    <row r="125" spans="1:7" ht="15.75" customHeight="1">
      <c r="A125" s="3">
        <v>21674</v>
      </c>
      <c r="B125" s="4">
        <v>33</v>
      </c>
      <c r="C125" s="23">
        <f t="shared" si="5"/>
        <v>36.5</v>
      </c>
      <c r="D125" s="13">
        <f t="shared" si="6"/>
        <v>-3.5</v>
      </c>
      <c r="E125" s="13">
        <f t="shared" si="7"/>
        <v>3.5</v>
      </c>
      <c r="F125" s="13">
        <f t="shared" si="8"/>
        <v>12.25</v>
      </c>
      <c r="G125" s="5">
        <f t="shared" si="9"/>
        <v>0.10606060606060606</v>
      </c>
    </row>
    <row r="126" spans="1:7" ht="15.75" customHeight="1">
      <c r="A126" s="3">
        <v>21675</v>
      </c>
      <c r="B126" s="4">
        <v>39</v>
      </c>
      <c r="C126" s="23">
        <f t="shared" si="5"/>
        <v>35.5</v>
      </c>
      <c r="D126" s="13">
        <f t="shared" si="6"/>
        <v>3.5</v>
      </c>
      <c r="E126" s="13">
        <f t="shared" si="7"/>
        <v>3.5</v>
      </c>
      <c r="F126" s="13">
        <f t="shared" si="8"/>
        <v>12.25</v>
      </c>
      <c r="G126" s="5">
        <f t="shared" si="9"/>
        <v>8.9743589743589744E-2</v>
      </c>
    </row>
    <row r="127" spans="1:7" ht="15.75" customHeight="1">
      <c r="A127" s="3">
        <v>21676</v>
      </c>
      <c r="B127" s="4">
        <v>47</v>
      </c>
      <c r="C127" s="23">
        <f t="shared" si="5"/>
        <v>36</v>
      </c>
      <c r="D127" s="13">
        <f t="shared" si="6"/>
        <v>11</v>
      </c>
      <c r="E127" s="13">
        <f t="shared" si="7"/>
        <v>11</v>
      </c>
      <c r="F127" s="13">
        <f t="shared" si="8"/>
        <v>121</v>
      </c>
      <c r="G127" s="5">
        <f t="shared" si="9"/>
        <v>0.23404255319148937</v>
      </c>
    </row>
    <row r="128" spans="1:7" ht="15.75" customHeight="1">
      <c r="A128" s="3">
        <v>21677</v>
      </c>
      <c r="B128" s="4">
        <v>38</v>
      </c>
      <c r="C128" s="23">
        <f t="shared" si="5"/>
        <v>43</v>
      </c>
      <c r="D128" s="13">
        <f t="shared" si="6"/>
        <v>-5</v>
      </c>
      <c r="E128" s="13">
        <f t="shared" si="7"/>
        <v>5</v>
      </c>
      <c r="F128" s="13">
        <f t="shared" si="8"/>
        <v>25</v>
      </c>
      <c r="G128" s="5">
        <f t="shared" si="9"/>
        <v>0.13157894736842105</v>
      </c>
    </row>
    <row r="129" spans="1:7" ht="15.75" customHeight="1">
      <c r="A129" s="3">
        <v>21678</v>
      </c>
      <c r="B129" s="4">
        <v>52</v>
      </c>
      <c r="C129" s="23">
        <f t="shared" si="5"/>
        <v>42.5</v>
      </c>
      <c r="D129" s="13">
        <f t="shared" si="6"/>
        <v>9.5</v>
      </c>
      <c r="E129" s="13">
        <f t="shared" si="7"/>
        <v>9.5</v>
      </c>
      <c r="F129" s="13">
        <f t="shared" si="8"/>
        <v>90.25</v>
      </c>
      <c r="G129" s="5">
        <f t="shared" si="9"/>
        <v>0.18269230769230768</v>
      </c>
    </row>
    <row r="130" spans="1:7" ht="15.75" customHeight="1">
      <c r="A130" s="3">
        <v>21679</v>
      </c>
      <c r="B130" s="4">
        <v>30</v>
      </c>
      <c r="C130" s="23">
        <f t="shared" si="5"/>
        <v>45</v>
      </c>
      <c r="D130" s="13">
        <f t="shared" si="6"/>
        <v>-15</v>
      </c>
      <c r="E130" s="13">
        <f t="shared" si="7"/>
        <v>15</v>
      </c>
      <c r="F130" s="13">
        <f t="shared" si="8"/>
        <v>225</v>
      </c>
      <c r="G130" s="5">
        <f t="shared" si="9"/>
        <v>0.5</v>
      </c>
    </row>
    <row r="131" spans="1:7" ht="15.75" customHeight="1">
      <c r="A131" s="3">
        <v>21680</v>
      </c>
      <c r="B131" s="4">
        <v>34</v>
      </c>
      <c r="C131" s="23">
        <f t="shared" si="5"/>
        <v>41</v>
      </c>
      <c r="D131" s="13">
        <f t="shared" si="6"/>
        <v>-7</v>
      </c>
      <c r="E131" s="13">
        <f t="shared" si="7"/>
        <v>7</v>
      </c>
      <c r="F131" s="13">
        <f t="shared" si="8"/>
        <v>49</v>
      </c>
      <c r="G131" s="5">
        <f t="shared" si="9"/>
        <v>0.20588235294117646</v>
      </c>
    </row>
    <row r="132" spans="1:7" ht="15.75" customHeight="1">
      <c r="A132" s="3">
        <v>21681</v>
      </c>
      <c r="B132" s="4">
        <v>40</v>
      </c>
      <c r="C132" s="23">
        <f t="shared" si="5"/>
        <v>32</v>
      </c>
      <c r="D132" s="13">
        <f t="shared" si="6"/>
        <v>8</v>
      </c>
      <c r="E132" s="13">
        <f t="shared" si="7"/>
        <v>8</v>
      </c>
      <c r="F132" s="13">
        <f t="shared" si="8"/>
        <v>64</v>
      </c>
      <c r="G132" s="5">
        <f t="shared" si="9"/>
        <v>0.2</v>
      </c>
    </row>
    <row r="133" spans="1:7" ht="15.75" customHeight="1">
      <c r="A133" s="3">
        <v>21682</v>
      </c>
      <c r="B133" s="4">
        <v>35</v>
      </c>
      <c r="C133" s="23">
        <f t="shared" ref="C133:C196" si="10">AVERAGE(B131:B132)</f>
        <v>37</v>
      </c>
      <c r="D133" s="13">
        <f t="shared" ref="D133:D196" si="11">B133-C133</f>
        <v>-2</v>
      </c>
      <c r="E133" s="13">
        <f t="shared" ref="E133:E196" si="12">ABS(D133)</f>
        <v>2</v>
      </c>
      <c r="F133" s="13">
        <f t="shared" ref="F133:F196" si="13">E133^2</f>
        <v>4</v>
      </c>
      <c r="G133" s="5">
        <f t="shared" ref="G133:G196" si="14">E133/B133</f>
        <v>5.7142857142857141E-2</v>
      </c>
    </row>
    <row r="134" spans="1:7" ht="15.75" customHeight="1">
      <c r="A134" s="3">
        <v>21683</v>
      </c>
      <c r="B134" s="4">
        <v>42</v>
      </c>
      <c r="C134" s="23">
        <f t="shared" si="10"/>
        <v>37.5</v>
      </c>
      <c r="D134" s="13">
        <f t="shared" si="11"/>
        <v>4.5</v>
      </c>
      <c r="E134" s="13">
        <f t="shared" si="12"/>
        <v>4.5</v>
      </c>
      <c r="F134" s="13">
        <f t="shared" si="13"/>
        <v>20.25</v>
      </c>
      <c r="G134" s="5">
        <f t="shared" si="14"/>
        <v>0.10714285714285714</v>
      </c>
    </row>
    <row r="135" spans="1:7" ht="15.75" customHeight="1">
      <c r="A135" s="3">
        <v>21684</v>
      </c>
      <c r="B135" s="4">
        <v>41</v>
      </c>
      <c r="C135" s="23">
        <f t="shared" si="10"/>
        <v>38.5</v>
      </c>
      <c r="D135" s="13">
        <f t="shared" si="11"/>
        <v>2.5</v>
      </c>
      <c r="E135" s="13">
        <f t="shared" si="12"/>
        <v>2.5</v>
      </c>
      <c r="F135" s="13">
        <f t="shared" si="13"/>
        <v>6.25</v>
      </c>
      <c r="G135" s="5">
        <f t="shared" si="14"/>
        <v>6.097560975609756E-2</v>
      </c>
    </row>
    <row r="136" spans="1:7" ht="15.75" customHeight="1">
      <c r="A136" s="3">
        <v>21685</v>
      </c>
      <c r="B136" s="4">
        <v>42</v>
      </c>
      <c r="C136" s="23">
        <f t="shared" si="10"/>
        <v>41.5</v>
      </c>
      <c r="D136" s="13">
        <f t="shared" si="11"/>
        <v>0.5</v>
      </c>
      <c r="E136" s="13">
        <f t="shared" si="12"/>
        <v>0.5</v>
      </c>
      <c r="F136" s="13">
        <f t="shared" si="13"/>
        <v>0.25</v>
      </c>
      <c r="G136" s="5">
        <f t="shared" si="14"/>
        <v>1.1904761904761904E-2</v>
      </c>
    </row>
    <row r="137" spans="1:7" ht="15.75" customHeight="1">
      <c r="A137" s="3">
        <v>21686</v>
      </c>
      <c r="B137" s="4">
        <v>38</v>
      </c>
      <c r="C137" s="23">
        <f t="shared" si="10"/>
        <v>41.5</v>
      </c>
      <c r="D137" s="13">
        <f t="shared" si="11"/>
        <v>-3.5</v>
      </c>
      <c r="E137" s="13">
        <f t="shared" si="12"/>
        <v>3.5</v>
      </c>
      <c r="F137" s="13">
        <f t="shared" si="13"/>
        <v>12.25</v>
      </c>
      <c r="G137" s="5">
        <f t="shared" si="14"/>
        <v>9.2105263157894732E-2</v>
      </c>
    </row>
    <row r="138" spans="1:7" ht="15.75" customHeight="1">
      <c r="A138" s="3">
        <v>21687</v>
      </c>
      <c r="B138" s="4">
        <v>24</v>
      </c>
      <c r="C138" s="23">
        <f t="shared" si="10"/>
        <v>40</v>
      </c>
      <c r="D138" s="13">
        <f t="shared" si="11"/>
        <v>-16</v>
      </c>
      <c r="E138" s="13">
        <f t="shared" si="12"/>
        <v>16</v>
      </c>
      <c r="F138" s="13">
        <f t="shared" si="13"/>
        <v>256</v>
      </c>
      <c r="G138" s="5">
        <f t="shared" si="14"/>
        <v>0.66666666666666663</v>
      </c>
    </row>
    <row r="139" spans="1:7" ht="15.75" customHeight="1">
      <c r="A139" s="3">
        <v>21688</v>
      </c>
      <c r="B139" s="4">
        <v>34</v>
      </c>
      <c r="C139" s="23">
        <f t="shared" si="10"/>
        <v>31</v>
      </c>
      <c r="D139" s="13">
        <f t="shared" si="11"/>
        <v>3</v>
      </c>
      <c r="E139" s="13">
        <f t="shared" si="12"/>
        <v>3</v>
      </c>
      <c r="F139" s="13">
        <f t="shared" si="13"/>
        <v>9</v>
      </c>
      <c r="G139" s="5">
        <f t="shared" si="14"/>
        <v>8.8235294117647065E-2</v>
      </c>
    </row>
    <row r="140" spans="1:7" ht="15.75" customHeight="1">
      <c r="A140" s="3">
        <v>21689</v>
      </c>
      <c r="B140" s="4">
        <v>43</v>
      </c>
      <c r="C140" s="23">
        <f t="shared" si="10"/>
        <v>29</v>
      </c>
      <c r="D140" s="13">
        <f t="shared" si="11"/>
        <v>14</v>
      </c>
      <c r="E140" s="13">
        <f t="shared" si="12"/>
        <v>14</v>
      </c>
      <c r="F140" s="13">
        <f t="shared" si="13"/>
        <v>196</v>
      </c>
      <c r="G140" s="5">
        <f t="shared" si="14"/>
        <v>0.32558139534883723</v>
      </c>
    </row>
    <row r="141" spans="1:7" ht="15.75" customHeight="1">
      <c r="A141" s="3">
        <v>21690</v>
      </c>
      <c r="B141" s="4">
        <v>36</v>
      </c>
      <c r="C141" s="23">
        <f t="shared" si="10"/>
        <v>38.5</v>
      </c>
      <c r="D141" s="13">
        <f t="shared" si="11"/>
        <v>-2.5</v>
      </c>
      <c r="E141" s="13">
        <f t="shared" si="12"/>
        <v>2.5</v>
      </c>
      <c r="F141" s="13">
        <f t="shared" si="13"/>
        <v>6.25</v>
      </c>
      <c r="G141" s="5">
        <f t="shared" si="14"/>
        <v>6.9444444444444448E-2</v>
      </c>
    </row>
    <row r="142" spans="1:7" ht="15.75" customHeight="1">
      <c r="A142" s="3">
        <v>21691</v>
      </c>
      <c r="B142" s="4">
        <v>55</v>
      </c>
      <c r="C142" s="23">
        <f t="shared" si="10"/>
        <v>39.5</v>
      </c>
      <c r="D142" s="13">
        <f t="shared" si="11"/>
        <v>15.5</v>
      </c>
      <c r="E142" s="13">
        <f t="shared" si="12"/>
        <v>15.5</v>
      </c>
      <c r="F142" s="13">
        <f t="shared" si="13"/>
        <v>240.25</v>
      </c>
      <c r="G142" s="5">
        <f t="shared" si="14"/>
        <v>0.2818181818181818</v>
      </c>
    </row>
    <row r="143" spans="1:7" ht="15.75" customHeight="1">
      <c r="A143" s="3">
        <v>21692</v>
      </c>
      <c r="B143" s="4">
        <v>41</v>
      </c>
      <c r="C143" s="23">
        <f t="shared" si="10"/>
        <v>45.5</v>
      </c>
      <c r="D143" s="13">
        <f t="shared" si="11"/>
        <v>-4.5</v>
      </c>
      <c r="E143" s="13">
        <f t="shared" si="12"/>
        <v>4.5</v>
      </c>
      <c r="F143" s="13">
        <f t="shared" si="13"/>
        <v>20.25</v>
      </c>
      <c r="G143" s="5">
        <f t="shared" si="14"/>
        <v>0.10975609756097561</v>
      </c>
    </row>
    <row r="144" spans="1:7" ht="15.75" customHeight="1">
      <c r="A144" s="3">
        <v>21693</v>
      </c>
      <c r="B144" s="4">
        <v>45</v>
      </c>
      <c r="C144" s="23">
        <f t="shared" si="10"/>
        <v>48</v>
      </c>
      <c r="D144" s="13">
        <f t="shared" si="11"/>
        <v>-3</v>
      </c>
      <c r="E144" s="13">
        <f t="shared" si="12"/>
        <v>3</v>
      </c>
      <c r="F144" s="13">
        <f t="shared" si="13"/>
        <v>9</v>
      </c>
      <c r="G144" s="5">
        <f t="shared" si="14"/>
        <v>6.6666666666666666E-2</v>
      </c>
    </row>
    <row r="145" spans="1:7" ht="15.75" customHeight="1">
      <c r="A145" s="3">
        <v>21694</v>
      </c>
      <c r="B145" s="4">
        <v>41</v>
      </c>
      <c r="C145" s="23">
        <f t="shared" si="10"/>
        <v>43</v>
      </c>
      <c r="D145" s="13">
        <f t="shared" si="11"/>
        <v>-2</v>
      </c>
      <c r="E145" s="13">
        <f t="shared" si="12"/>
        <v>2</v>
      </c>
      <c r="F145" s="13">
        <f t="shared" si="13"/>
        <v>4</v>
      </c>
      <c r="G145" s="5">
        <f t="shared" si="14"/>
        <v>4.878048780487805E-2</v>
      </c>
    </row>
    <row r="146" spans="1:7" ht="15.75" customHeight="1">
      <c r="A146" s="3">
        <v>21695</v>
      </c>
      <c r="B146" s="4">
        <v>37</v>
      </c>
      <c r="C146" s="23">
        <f t="shared" si="10"/>
        <v>43</v>
      </c>
      <c r="D146" s="13">
        <f t="shared" si="11"/>
        <v>-6</v>
      </c>
      <c r="E146" s="13">
        <f t="shared" si="12"/>
        <v>6</v>
      </c>
      <c r="F146" s="13">
        <f t="shared" si="13"/>
        <v>36</v>
      </c>
      <c r="G146" s="5">
        <f t="shared" si="14"/>
        <v>0.16216216216216217</v>
      </c>
    </row>
    <row r="147" spans="1:7" ht="15.75" customHeight="1">
      <c r="A147" s="3">
        <v>21696</v>
      </c>
      <c r="B147" s="4">
        <v>43</v>
      </c>
      <c r="C147" s="23">
        <f t="shared" si="10"/>
        <v>39</v>
      </c>
      <c r="D147" s="13">
        <f t="shared" si="11"/>
        <v>4</v>
      </c>
      <c r="E147" s="13">
        <f t="shared" si="12"/>
        <v>4</v>
      </c>
      <c r="F147" s="13">
        <f t="shared" si="13"/>
        <v>16</v>
      </c>
      <c r="G147" s="5">
        <f t="shared" si="14"/>
        <v>9.3023255813953487E-2</v>
      </c>
    </row>
    <row r="148" spans="1:7" ht="15.75" customHeight="1">
      <c r="A148" s="3">
        <v>21697</v>
      </c>
      <c r="B148" s="4">
        <v>39</v>
      </c>
      <c r="C148" s="23">
        <f t="shared" si="10"/>
        <v>40</v>
      </c>
      <c r="D148" s="13">
        <f t="shared" si="11"/>
        <v>-1</v>
      </c>
      <c r="E148" s="13">
        <f t="shared" si="12"/>
        <v>1</v>
      </c>
      <c r="F148" s="13">
        <f t="shared" si="13"/>
        <v>1</v>
      </c>
      <c r="G148" s="5">
        <f t="shared" si="14"/>
        <v>2.564102564102564E-2</v>
      </c>
    </row>
    <row r="149" spans="1:7" ht="15.75" customHeight="1">
      <c r="A149" s="3">
        <v>21698</v>
      </c>
      <c r="B149" s="4">
        <v>33</v>
      </c>
      <c r="C149" s="23">
        <f t="shared" si="10"/>
        <v>41</v>
      </c>
      <c r="D149" s="13">
        <f t="shared" si="11"/>
        <v>-8</v>
      </c>
      <c r="E149" s="13">
        <f t="shared" si="12"/>
        <v>8</v>
      </c>
      <c r="F149" s="13">
        <f t="shared" si="13"/>
        <v>64</v>
      </c>
      <c r="G149" s="5">
        <f t="shared" si="14"/>
        <v>0.24242424242424243</v>
      </c>
    </row>
    <row r="150" spans="1:7" ht="15.75" customHeight="1">
      <c r="A150" s="3">
        <v>21699</v>
      </c>
      <c r="B150" s="4">
        <v>43</v>
      </c>
      <c r="C150" s="23">
        <f t="shared" si="10"/>
        <v>36</v>
      </c>
      <c r="D150" s="13">
        <f t="shared" si="11"/>
        <v>7</v>
      </c>
      <c r="E150" s="13">
        <f t="shared" si="12"/>
        <v>7</v>
      </c>
      <c r="F150" s="13">
        <f t="shared" si="13"/>
        <v>49</v>
      </c>
      <c r="G150" s="5">
        <f t="shared" si="14"/>
        <v>0.16279069767441862</v>
      </c>
    </row>
    <row r="151" spans="1:7" ht="15.75" customHeight="1">
      <c r="A151" s="3">
        <v>21700</v>
      </c>
      <c r="B151" s="4">
        <v>40</v>
      </c>
      <c r="C151" s="23">
        <f t="shared" si="10"/>
        <v>38</v>
      </c>
      <c r="D151" s="13">
        <f t="shared" si="11"/>
        <v>2</v>
      </c>
      <c r="E151" s="13">
        <f t="shared" si="12"/>
        <v>2</v>
      </c>
      <c r="F151" s="13">
        <f t="shared" si="13"/>
        <v>4</v>
      </c>
      <c r="G151" s="5">
        <f t="shared" si="14"/>
        <v>0.05</v>
      </c>
    </row>
    <row r="152" spans="1:7" ht="15.75" customHeight="1">
      <c r="A152" s="3">
        <v>21701</v>
      </c>
      <c r="B152" s="4">
        <v>38</v>
      </c>
      <c r="C152" s="23">
        <f t="shared" si="10"/>
        <v>41.5</v>
      </c>
      <c r="D152" s="13">
        <f t="shared" si="11"/>
        <v>-3.5</v>
      </c>
      <c r="E152" s="13">
        <f t="shared" si="12"/>
        <v>3.5</v>
      </c>
      <c r="F152" s="13">
        <f t="shared" si="13"/>
        <v>12.25</v>
      </c>
      <c r="G152" s="5">
        <f t="shared" si="14"/>
        <v>9.2105263157894732E-2</v>
      </c>
    </row>
    <row r="153" spans="1:7" ht="15.75" customHeight="1">
      <c r="A153" s="3">
        <v>21702</v>
      </c>
      <c r="B153" s="4">
        <v>45</v>
      </c>
      <c r="C153" s="23">
        <f t="shared" si="10"/>
        <v>39</v>
      </c>
      <c r="D153" s="13">
        <f t="shared" si="11"/>
        <v>6</v>
      </c>
      <c r="E153" s="13">
        <f t="shared" si="12"/>
        <v>6</v>
      </c>
      <c r="F153" s="13">
        <f t="shared" si="13"/>
        <v>36</v>
      </c>
      <c r="G153" s="5">
        <f t="shared" si="14"/>
        <v>0.13333333333333333</v>
      </c>
    </row>
    <row r="154" spans="1:7" ht="15.75" customHeight="1">
      <c r="A154" s="3">
        <v>21703</v>
      </c>
      <c r="B154" s="4">
        <v>46</v>
      </c>
      <c r="C154" s="23">
        <f t="shared" si="10"/>
        <v>41.5</v>
      </c>
      <c r="D154" s="13">
        <f t="shared" si="11"/>
        <v>4.5</v>
      </c>
      <c r="E154" s="13">
        <f t="shared" si="12"/>
        <v>4.5</v>
      </c>
      <c r="F154" s="13">
        <f t="shared" si="13"/>
        <v>20.25</v>
      </c>
      <c r="G154" s="5">
        <f t="shared" si="14"/>
        <v>9.7826086956521743E-2</v>
      </c>
    </row>
    <row r="155" spans="1:7" ht="15.75" customHeight="1">
      <c r="A155" s="3">
        <v>21704</v>
      </c>
      <c r="B155" s="4">
        <v>34</v>
      </c>
      <c r="C155" s="23">
        <f t="shared" si="10"/>
        <v>45.5</v>
      </c>
      <c r="D155" s="13">
        <f t="shared" si="11"/>
        <v>-11.5</v>
      </c>
      <c r="E155" s="13">
        <f t="shared" si="12"/>
        <v>11.5</v>
      </c>
      <c r="F155" s="13">
        <f t="shared" si="13"/>
        <v>132.25</v>
      </c>
      <c r="G155" s="5">
        <f t="shared" si="14"/>
        <v>0.33823529411764708</v>
      </c>
    </row>
    <row r="156" spans="1:7" ht="15.75" customHeight="1">
      <c r="A156" s="3">
        <v>21705</v>
      </c>
      <c r="B156" s="4">
        <v>35</v>
      </c>
      <c r="C156" s="23">
        <f t="shared" si="10"/>
        <v>40</v>
      </c>
      <c r="D156" s="13">
        <f t="shared" si="11"/>
        <v>-5</v>
      </c>
      <c r="E156" s="13">
        <f t="shared" si="12"/>
        <v>5</v>
      </c>
      <c r="F156" s="13">
        <f t="shared" si="13"/>
        <v>25</v>
      </c>
      <c r="G156" s="5">
        <f t="shared" si="14"/>
        <v>0.14285714285714285</v>
      </c>
    </row>
    <row r="157" spans="1:7" ht="15.75" customHeight="1">
      <c r="A157" s="3">
        <v>21706</v>
      </c>
      <c r="B157" s="4">
        <v>48</v>
      </c>
      <c r="C157" s="23">
        <f t="shared" si="10"/>
        <v>34.5</v>
      </c>
      <c r="D157" s="13">
        <f t="shared" si="11"/>
        <v>13.5</v>
      </c>
      <c r="E157" s="13">
        <f t="shared" si="12"/>
        <v>13.5</v>
      </c>
      <c r="F157" s="13">
        <f t="shared" si="13"/>
        <v>182.25</v>
      </c>
      <c r="G157" s="5">
        <f t="shared" si="14"/>
        <v>0.28125</v>
      </c>
    </row>
    <row r="158" spans="1:7" ht="15.75" customHeight="1">
      <c r="A158" s="3">
        <v>21707</v>
      </c>
      <c r="B158" s="4">
        <v>51</v>
      </c>
      <c r="C158" s="23">
        <f t="shared" si="10"/>
        <v>41.5</v>
      </c>
      <c r="D158" s="13">
        <f t="shared" si="11"/>
        <v>9.5</v>
      </c>
      <c r="E158" s="13">
        <f t="shared" si="12"/>
        <v>9.5</v>
      </c>
      <c r="F158" s="13">
        <f t="shared" si="13"/>
        <v>90.25</v>
      </c>
      <c r="G158" s="5">
        <f t="shared" si="14"/>
        <v>0.18627450980392157</v>
      </c>
    </row>
    <row r="159" spans="1:7" ht="15.75" customHeight="1">
      <c r="A159" s="3">
        <v>21708</v>
      </c>
      <c r="B159" s="4">
        <v>36</v>
      </c>
      <c r="C159" s="23">
        <f t="shared" si="10"/>
        <v>49.5</v>
      </c>
      <c r="D159" s="13">
        <f t="shared" si="11"/>
        <v>-13.5</v>
      </c>
      <c r="E159" s="13">
        <f t="shared" si="12"/>
        <v>13.5</v>
      </c>
      <c r="F159" s="13">
        <f t="shared" si="13"/>
        <v>182.25</v>
      </c>
      <c r="G159" s="5">
        <f t="shared" si="14"/>
        <v>0.375</v>
      </c>
    </row>
    <row r="160" spans="1:7" ht="15.75" customHeight="1">
      <c r="A160" s="3">
        <v>21709</v>
      </c>
      <c r="B160" s="4">
        <v>33</v>
      </c>
      <c r="C160" s="23">
        <f t="shared" si="10"/>
        <v>43.5</v>
      </c>
      <c r="D160" s="13">
        <f t="shared" si="11"/>
        <v>-10.5</v>
      </c>
      <c r="E160" s="13">
        <f t="shared" si="12"/>
        <v>10.5</v>
      </c>
      <c r="F160" s="13">
        <f t="shared" si="13"/>
        <v>110.25</v>
      </c>
      <c r="G160" s="5">
        <f t="shared" si="14"/>
        <v>0.31818181818181818</v>
      </c>
    </row>
    <row r="161" spans="1:7" ht="15.75" customHeight="1">
      <c r="A161" s="3">
        <v>21710</v>
      </c>
      <c r="B161" s="4">
        <v>46</v>
      </c>
      <c r="C161" s="23">
        <f t="shared" si="10"/>
        <v>34.5</v>
      </c>
      <c r="D161" s="13">
        <f t="shared" si="11"/>
        <v>11.5</v>
      </c>
      <c r="E161" s="13">
        <f t="shared" si="12"/>
        <v>11.5</v>
      </c>
      <c r="F161" s="13">
        <f t="shared" si="13"/>
        <v>132.25</v>
      </c>
      <c r="G161" s="5">
        <f t="shared" si="14"/>
        <v>0.25</v>
      </c>
    </row>
    <row r="162" spans="1:7" ht="15.75" customHeight="1">
      <c r="A162" s="3">
        <v>21711</v>
      </c>
      <c r="B162" s="4">
        <v>42</v>
      </c>
      <c r="C162" s="23">
        <f t="shared" si="10"/>
        <v>39.5</v>
      </c>
      <c r="D162" s="13">
        <f t="shared" si="11"/>
        <v>2.5</v>
      </c>
      <c r="E162" s="13">
        <f t="shared" si="12"/>
        <v>2.5</v>
      </c>
      <c r="F162" s="13">
        <f t="shared" si="13"/>
        <v>6.25</v>
      </c>
      <c r="G162" s="5">
        <f t="shared" si="14"/>
        <v>5.9523809523809521E-2</v>
      </c>
    </row>
    <row r="163" spans="1:7" ht="15.75" customHeight="1">
      <c r="A163" s="3">
        <v>21712</v>
      </c>
      <c r="B163" s="4">
        <v>48</v>
      </c>
      <c r="C163" s="23">
        <f t="shared" si="10"/>
        <v>44</v>
      </c>
      <c r="D163" s="13">
        <f t="shared" si="11"/>
        <v>4</v>
      </c>
      <c r="E163" s="13">
        <f t="shared" si="12"/>
        <v>4</v>
      </c>
      <c r="F163" s="13">
        <f t="shared" si="13"/>
        <v>16</v>
      </c>
      <c r="G163" s="5">
        <f t="shared" si="14"/>
        <v>8.3333333333333329E-2</v>
      </c>
    </row>
    <row r="164" spans="1:7" ht="15.75" customHeight="1">
      <c r="A164" s="3">
        <v>21713</v>
      </c>
      <c r="B164" s="4">
        <v>34</v>
      </c>
      <c r="C164" s="23">
        <f t="shared" si="10"/>
        <v>45</v>
      </c>
      <c r="D164" s="13">
        <f t="shared" si="11"/>
        <v>-11</v>
      </c>
      <c r="E164" s="13">
        <f t="shared" si="12"/>
        <v>11</v>
      </c>
      <c r="F164" s="13">
        <f t="shared" si="13"/>
        <v>121</v>
      </c>
      <c r="G164" s="5">
        <f t="shared" si="14"/>
        <v>0.3235294117647059</v>
      </c>
    </row>
    <row r="165" spans="1:7" ht="15.75" customHeight="1">
      <c r="A165" s="3">
        <v>21714</v>
      </c>
      <c r="B165" s="4">
        <v>41</v>
      </c>
      <c r="C165" s="23">
        <f t="shared" si="10"/>
        <v>41</v>
      </c>
      <c r="D165" s="13">
        <f t="shared" si="11"/>
        <v>0</v>
      </c>
      <c r="E165" s="13">
        <f t="shared" si="12"/>
        <v>0</v>
      </c>
      <c r="F165" s="13">
        <f t="shared" si="13"/>
        <v>0</v>
      </c>
      <c r="G165" s="5">
        <f t="shared" si="14"/>
        <v>0</v>
      </c>
    </row>
    <row r="166" spans="1:7" ht="15.75" customHeight="1">
      <c r="A166" s="3">
        <v>21715</v>
      </c>
      <c r="B166" s="4">
        <v>35</v>
      </c>
      <c r="C166" s="23">
        <f t="shared" si="10"/>
        <v>37.5</v>
      </c>
      <c r="D166" s="13">
        <f t="shared" si="11"/>
        <v>-2.5</v>
      </c>
      <c r="E166" s="13">
        <f t="shared" si="12"/>
        <v>2.5</v>
      </c>
      <c r="F166" s="13">
        <f t="shared" si="13"/>
        <v>6.25</v>
      </c>
      <c r="G166" s="5">
        <f t="shared" si="14"/>
        <v>7.1428571428571425E-2</v>
      </c>
    </row>
    <row r="167" spans="1:7" ht="15.75" customHeight="1">
      <c r="A167" s="3">
        <v>21716</v>
      </c>
      <c r="B167" s="4">
        <v>40</v>
      </c>
      <c r="C167" s="23">
        <f t="shared" si="10"/>
        <v>38</v>
      </c>
      <c r="D167" s="13">
        <f t="shared" si="11"/>
        <v>2</v>
      </c>
      <c r="E167" s="13">
        <f t="shared" si="12"/>
        <v>2</v>
      </c>
      <c r="F167" s="13">
        <f t="shared" si="13"/>
        <v>4</v>
      </c>
      <c r="G167" s="5">
        <f t="shared" si="14"/>
        <v>0.05</v>
      </c>
    </row>
    <row r="168" spans="1:7" ht="15.75" customHeight="1">
      <c r="A168" s="3">
        <v>21717</v>
      </c>
      <c r="B168" s="4">
        <v>34</v>
      </c>
      <c r="C168" s="23">
        <f t="shared" si="10"/>
        <v>37.5</v>
      </c>
      <c r="D168" s="13">
        <f t="shared" si="11"/>
        <v>-3.5</v>
      </c>
      <c r="E168" s="13">
        <f t="shared" si="12"/>
        <v>3.5</v>
      </c>
      <c r="F168" s="13">
        <f t="shared" si="13"/>
        <v>12.25</v>
      </c>
      <c r="G168" s="5">
        <f t="shared" si="14"/>
        <v>0.10294117647058823</v>
      </c>
    </row>
    <row r="169" spans="1:7" ht="15.75" customHeight="1">
      <c r="A169" s="3">
        <v>21718</v>
      </c>
      <c r="B169" s="4">
        <v>30</v>
      </c>
      <c r="C169" s="23">
        <f t="shared" si="10"/>
        <v>37</v>
      </c>
      <c r="D169" s="13">
        <f t="shared" si="11"/>
        <v>-7</v>
      </c>
      <c r="E169" s="13">
        <f t="shared" si="12"/>
        <v>7</v>
      </c>
      <c r="F169" s="13">
        <f t="shared" si="13"/>
        <v>49</v>
      </c>
      <c r="G169" s="5">
        <f t="shared" si="14"/>
        <v>0.23333333333333334</v>
      </c>
    </row>
    <row r="170" spans="1:7" ht="15.75" customHeight="1">
      <c r="A170" s="3">
        <v>21719</v>
      </c>
      <c r="B170" s="4">
        <v>36</v>
      </c>
      <c r="C170" s="23">
        <f t="shared" si="10"/>
        <v>32</v>
      </c>
      <c r="D170" s="13">
        <f t="shared" si="11"/>
        <v>4</v>
      </c>
      <c r="E170" s="13">
        <f t="shared" si="12"/>
        <v>4</v>
      </c>
      <c r="F170" s="13">
        <f t="shared" si="13"/>
        <v>16</v>
      </c>
      <c r="G170" s="5">
        <f t="shared" si="14"/>
        <v>0.1111111111111111</v>
      </c>
    </row>
    <row r="171" spans="1:7" ht="15.75" customHeight="1">
      <c r="A171" s="3">
        <v>21720</v>
      </c>
      <c r="B171" s="4">
        <v>40</v>
      </c>
      <c r="C171" s="23">
        <f t="shared" si="10"/>
        <v>33</v>
      </c>
      <c r="D171" s="13">
        <f t="shared" si="11"/>
        <v>7</v>
      </c>
      <c r="E171" s="13">
        <f t="shared" si="12"/>
        <v>7</v>
      </c>
      <c r="F171" s="13">
        <f t="shared" si="13"/>
        <v>49</v>
      </c>
      <c r="G171" s="5">
        <f t="shared" si="14"/>
        <v>0.17499999999999999</v>
      </c>
    </row>
    <row r="172" spans="1:7" ht="15.75" customHeight="1">
      <c r="A172" s="3">
        <v>21721</v>
      </c>
      <c r="B172" s="4">
        <v>39</v>
      </c>
      <c r="C172" s="23">
        <f t="shared" si="10"/>
        <v>38</v>
      </c>
      <c r="D172" s="13">
        <f t="shared" si="11"/>
        <v>1</v>
      </c>
      <c r="E172" s="13">
        <f t="shared" si="12"/>
        <v>1</v>
      </c>
      <c r="F172" s="13">
        <f t="shared" si="13"/>
        <v>1</v>
      </c>
      <c r="G172" s="5">
        <f t="shared" si="14"/>
        <v>2.564102564102564E-2</v>
      </c>
    </row>
    <row r="173" spans="1:7" ht="15.75" customHeight="1">
      <c r="A173" s="3">
        <v>21722</v>
      </c>
      <c r="B173" s="4">
        <v>45</v>
      </c>
      <c r="C173" s="23">
        <f t="shared" si="10"/>
        <v>39.5</v>
      </c>
      <c r="D173" s="13">
        <f t="shared" si="11"/>
        <v>5.5</v>
      </c>
      <c r="E173" s="13">
        <f t="shared" si="12"/>
        <v>5.5</v>
      </c>
      <c r="F173" s="13">
        <f t="shared" si="13"/>
        <v>30.25</v>
      </c>
      <c r="G173" s="5">
        <f t="shared" si="14"/>
        <v>0.12222222222222222</v>
      </c>
    </row>
    <row r="174" spans="1:7" ht="15.75" customHeight="1">
      <c r="A174" s="3">
        <v>21723</v>
      </c>
      <c r="B174" s="4">
        <v>38</v>
      </c>
      <c r="C174" s="23">
        <f t="shared" si="10"/>
        <v>42</v>
      </c>
      <c r="D174" s="13">
        <f t="shared" si="11"/>
        <v>-4</v>
      </c>
      <c r="E174" s="13">
        <f t="shared" si="12"/>
        <v>4</v>
      </c>
      <c r="F174" s="13">
        <f t="shared" si="13"/>
        <v>16</v>
      </c>
      <c r="G174" s="5">
        <f t="shared" si="14"/>
        <v>0.10526315789473684</v>
      </c>
    </row>
    <row r="175" spans="1:7" ht="15.75" customHeight="1">
      <c r="A175" s="3">
        <v>21724</v>
      </c>
      <c r="B175" s="4">
        <v>47</v>
      </c>
      <c r="C175" s="23">
        <f t="shared" si="10"/>
        <v>41.5</v>
      </c>
      <c r="D175" s="13">
        <f t="shared" si="11"/>
        <v>5.5</v>
      </c>
      <c r="E175" s="13">
        <f t="shared" si="12"/>
        <v>5.5</v>
      </c>
      <c r="F175" s="13">
        <f t="shared" si="13"/>
        <v>30.25</v>
      </c>
      <c r="G175" s="5">
        <f t="shared" si="14"/>
        <v>0.11702127659574468</v>
      </c>
    </row>
    <row r="176" spans="1:7" ht="15.75" customHeight="1">
      <c r="A176" s="3">
        <v>21725</v>
      </c>
      <c r="B176" s="4">
        <v>33</v>
      </c>
      <c r="C176" s="23">
        <f t="shared" si="10"/>
        <v>42.5</v>
      </c>
      <c r="D176" s="13">
        <f t="shared" si="11"/>
        <v>-9.5</v>
      </c>
      <c r="E176" s="13">
        <f t="shared" si="12"/>
        <v>9.5</v>
      </c>
      <c r="F176" s="13">
        <f t="shared" si="13"/>
        <v>90.25</v>
      </c>
      <c r="G176" s="5">
        <f t="shared" si="14"/>
        <v>0.2878787878787879</v>
      </c>
    </row>
    <row r="177" spans="1:7" ht="15.75" customHeight="1">
      <c r="A177" s="3">
        <v>21726</v>
      </c>
      <c r="B177" s="4">
        <v>30</v>
      </c>
      <c r="C177" s="23">
        <f t="shared" si="10"/>
        <v>40</v>
      </c>
      <c r="D177" s="13">
        <f t="shared" si="11"/>
        <v>-10</v>
      </c>
      <c r="E177" s="13">
        <f t="shared" si="12"/>
        <v>10</v>
      </c>
      <c r="F177" s="13">
        <f t="shared" si="13"/>
        <v>100</v>
      </c>
      <c r="G177" s="5">
        <f t="shared" si="14"/>
        <v>0.33333333333333331</v>
      </c>
    </row>
    <row r="178" spans="1:7" ht="15.75" customHeight="1">
      <c r="A178" s="3">
        <v>21727</v>
      </c>
      <c r="B178" s="4">
        <v>42</v>
      </c>
      <c r="C178" s="23">
        <f t="shared" si="10"/>
        <v>31.5</v>
      </c>
      <c r="D178" s="13">
        <f t="shared" si="11"/>
        <v>10.5</v>
      </c>
      <c r="E178" s="13">
        <f t="shared" si="12"/>
        <v>10.5</v>
      </c>
      <c r="F178" s="13">
        <f t="shared" si="13"/>
        <v>110.25</v>
      </c>
      <c r="G178" s="5">
        <f t="shared" si="14"/>
        <v>0.25</v>
      </c>
    </row>
    <row r="179" spans="1:7" ht="15.75" customHeight="1">
      <c r="A179" s="3">
        <v>21728</v>
      </c>
      <c r="B179" s="4">
        <v>43</v>
      </c>
      <c r="C179" s="23">
        <f t="shared" si="10"/>
        <v>36</v>
      </c>
      <c r="D179" s="13">
        <f t="shared" si="11"/>
        <v>7</v>
      </c>
      <c r="E179" s="13">
        <f t="shared" si="12"/>
        <v>7</v>
      </c>
      <c r="F179" s="13">
        <f t="shared" si="13"/>
        <v>49</v>
      </c>
      <c r="G179" s="5">
        <f t="shared" si="14"/>
        <v>0.16279069767441862</v>
      </c>
    </row>
    <row r="180" spans="1:7" ht="15.75" customHeight="1">
      <c r="A180" s="3">
        <v>21729</v>
      </c>
      <c r="B180" s="4">
        <v>41</v>
      </c>
      <c r="C180" s="23">
        <f t="shared" si="10"/>
        <v>42.5</v>
      </c>
      <c r="D180" s="13">
        <f t="shared" si="11"/>
        <v>-1.5</v>
      </c>
      <c r="E180" s="13">
        <f t="shared" si="12"/>
        <v>1.5</v>
      </c>
      <c r="F180" s="13">
        <f t="shared" si="13"/>
        <v>2.25</v>
      </c>
      <c r="G180" s="5">
        <f t="shared" si="14"/>
        <v>3.6585365853658534E-2</v>
      </c>
    </row>
    <row r="181" spans="1:7" ht="15.75" customHeight="1">
      <c r="A181" s="3">
        <v>21730</v>
      </c>
      <c r="B181" s="4">
        <v>41</v>
      </c>
      <c r="C181" s="23">
        <f t="shared" si="10"/>
        <v>42</v>
      </c>
      <c r="D181" s="13">
        <f t="shared" si="11"/>
        <v>-1</v>
      </c>
      <c r="E181" s="13">
        <f t="shared" si="12"/>
        <v>1</v>
      </c>
      <c r="F181" s="13">
        <f t="shared" si="13"/>
        <v>1</v>
      </c>
      <c r="G181" s="5">
        <f t="shared" si="14"/>
        <v>2.4390243902439025E-2</v>
      </c>
    </row>
    <row r="182" spans="1:7" ht="15.75" customHeight="1">
      <c r="A182" s="3">
        <v>21731</v>
      </c>
      <c r="B182" s="4">
        <v>59</v>
      </c>
      <c r="C182" s="23">
        <f t="shared" si="10"/>
        <v>41</v>
      </c>
      <c r="D182" s="13">
        <f t="shared" si="11"/>
        <v>18</v>
      </c>
      <c r="E182" s="13">
        <f t="shared" si="12"/>
        <v>18</v>
      </c>
      <c r="F182" s="13">
        <f t="shared" si="13"/>
        <v>324</v>
      </c>
      <c r="G182" s="5">
        <f t="shared" si="14"/>
        <v>0.30508474576271188</v>
      </c>
    </row>
    <row r="183" spans="1:7" ht="15.75" customHeight="1">
      <c r="A183" s="3">
        <v>21732</v>
      </c>
      <c r="B183" s="4">
        <v>43</v>
      </c>
      <c r="C183" s="23">
        <f t="shared" si="10"/>
        <v>50</v>
      </c>
      <c r="D183" s="13">
        <f t="shared" si="11"/>
        <v>-7</v>
      </c>
      <c r="E183" s="13">
        <f t="shared" si="12"/>
        <v>7</v>
      </c>
      <c r="F183" s="13">
        <f t="shared" si="13"/>
        <v>49</v>
      </c>
      <c r="G183" s="5">
        <f t="shared" si="14"/>
        <v>0.16279069767441862</v>
      </c>
    </row>
    <row r="184" spans="1:7" ht="15.75" customHeight="1">
      <c r="A184" s="3">
        <v>21733</v>
      </c>
      <c r="B184" s="4">
        <v>45</v>
      </c>
      <c r="C184" s="23">
        <f t="shared" si="10"/>
        <v>51</v>
      </c>
      <c r="D184" s="13">
        <f t="shared" si="11"/>
        <v>-6</v>
      </c>
      <c r="E184" s="13">
        <f t="shared" si="12"/>
        <v>6</v>
      </c>
      <c r="F184" s="13">
        <f t="shared" si="13"/>
        <v>36</v>
      </c>
      <c r="G184" s="5">
        <f t="shared" si="14"/>
        <v>0.13333333333333333</v>
      </c>
    </row>
    <row r="185" spans="1:7" ht="15.75" customHeight="1">
      <c r="A185" s="3">
        <v>21734</v>
      </c>
      <c r="B185" s="4">
        <v>38</v>
      </c>
      <c r="C185" s="23">
        <f t="shared" si="10"/>
        <v>44</v>
      </c>
      <c r="D185" s="13">
        <f t="shared" si="11"/>
        <v>-6</v>
      </c>
      <c r="E185" s="13">
        <f t="shared" si="12"/>
        <v>6</v>
      </c>
      <c r="F185" s="13">
        <f t="shared" si="13"/>
        <v>36</v>
      </c>
      <c r="G185" s="5">
        <f t="shared" si="14"/>
        <v>0.15789473684210525</v>
      </c>
    </row>
    <row r="186" spans="1:7" ht="15.75" customHeight="1">
      <c r="A186" s="3">
        <v>21735</v>
      </c>
      <c r="B186" s="4">
        <v>37</v>
      </c>
      <c r="C186" s="23">
        <f t="shared" si="10"/>
        <v>41.5</v>
      </c>
      <c r="D186" s="13">
        <f t="shared" si="11"/>
        <v>-4.5</v>
      </c>
      <c r="E186" s="13">
        <f t="shared" si="12"/>
        <v>4.5</v>
      </c>
      <c r="F186" s="13">
        <f t="shared" si="13"/>
        <v>20.25</v>
      </c>
      <c r="G186" s="5">
        <f t="shared" si="14"/>
        <v>0.12162162162162163</v>
      </c>
    </row>
    <row r="187" spans="1:7" ht="15.75" customHeight="1">
      <c r="A187" s="3">
        <v>21736</v>
      </c>
      <c r="B187" s="4">
        <v>45</v>
      </c>
      <c r="C187" s="23">
        <f t="shared" si="10"/>
        <v>37.5</v>
      </c>
      <c r="D187" s="13">
        <f t="shared" si="11"/>
        <v>7.5</v>
      </c>
      <c r="E187" s="13">
        <f t="shared" si="12"/>
        <v>7.5</v>
      </c>
      <c r="F187" s="13">
        <f t="shared" si="13"/>
        <v>56.25</v>
      </c>
      <c r="G187" s="5">
        <f t="shared" si="14"/>
        <v>0.16666666666666666</v>
      </c>
    </row>
    <row r="188" spans="1:7" ht="15.75" customHeight="1">
      <c r="A188" s="3">
        <v>21737</v>
      </c>
      <c r="B188" s="4">
        <v>42</v>
      </c>
      <c r="C188" s="23">
        <f t="shared" si="10"/>
        <v>41</v>
      </c>
      <c r="D188" s="13">
        <f t="shared" si="11"/>
        <v>1</v>
      </c>
      <c r="E188" s="13">
        <f t="shared" si="12"/>
        <v>1</v>
      </c>
      <c r="F188" s="13">
        <f t="shared" si="13"/>
        <v>1</v>
      </c>
      <c r="G188" s="5">
        <f t="shared" si="14"/>
        <v>2.3809523809523808E-2</v>
      </c>
    </row>
    <row r="189" spans="1:7" ht="15.75" customHeight="1">
      <c r="A189" s="3">
        <v>21738</v>
      </c>
      <c r="B189" s="4">
        <v>57</v>
      </c>
      <c r="C189" s="23">
        <f t="shared" si="10"/>
        <v>43.5</v>
      </c>
      <c r="D189" s="13">
        <f t="shared" si="11"/>
        <v>13.5</v>
      </c>
      <c r="E189" s="13">
        <f t="shared" si="12"/>
        <v>13.5</v>
      </c>
      <c r="F189" s="13">
        <f t="shared" si="13"/>
        <v>182.25</v>
      </c>
      <c r="G189" s="5">
        <f t="shared" si="14"/>
        <v>0.23684210526315788</v>
      </c>
    </row>
    <row r="190" spans="1:7" ht="15.75" customHeight="1">
      <c r="A190" s="3">
        <v>21739</v>
      </c>
      <c r="B190" s="4">
        <v>46</v>
      </c>
      <c r="C190" s="23">
        <f t="shared" si="10"/>
        <v>49.5</v>
      </c>
      <c r="D190" s="13">
        <f t="shared" si="11"/>
        <v>-3.5</v>
      </c>
      <c r="E190" s="13">
        <f t="shared" si="12"/>
        <v>3.5</v>
      </c>
      <c r="F190" s="13">
        <f t="shared" si="13"/>
        <v>12.25</v>
      </c>
      <c r="G190" s="5">
        <f t="shared" si="14"/>
        <v>7.6086956521739135E-2</v>
      </c>
    </row>
    <row r="191" spans="1:7" ht="15.75" customHeight="1">
      <c r="A191" s="3">
        <v>21740</v>
      </c>
      <c r="B191" s="4">
        <v>51</v>
      </c>
      <c r="C191" s="23">
        <f t="shared" si="10"/>
        <v>51.5</v>
      </c>
      <c r="D191" s="13">
        <f t="shared" si="11"/>
        <v>-0.5</v>
      </c>
      <c r="E191" s="13">
        <f t="shared" si="12"/>
        <v>0.5</v>
      </c>
      <c r="F191" s="13">
        <f t="shared" si="13"/>
        <v>0.25</v>
      </c>
      <c r="G191" s="5">
        <f t="shared" si="14"/>
        <v>9.8039215686274508E-3</v>
      </c>
    </row>
    <row r="192" spans="1:7" ht="15.75" customHeight="1">
      <c r="A192" s="3">
        <v>21741</v>
      </c>
      <c r="B192" s="4">
        <v>41</v>
      </c>
      <c r="C192" s="23">
        <f t="shared" si="10"/>
        <v>48.5</v>
      </c>
      <c r="D192" s="13">
        <f t="shared" si="11"/>
        <v>-7.5</v>
      </c>
      <c r="E192" s="13">
        <f t="shared" si="12"/>
        <v>7.5</v>
      </c>
      <c r="F192" s="13">
        <f t="shared" si="13"/>
        <v>56.25</v>
      </c>
      <c r="G192" s="5">
        <f t="shared" si="14"/>
        <v>0.18292682926829268</v>
      </c>
    </row>
    <row r="193" spans="1:7" ht="15.75" customHeight="1">
      <c r="A193" s="3">
        <v>21742</v>
      </c>
      <c r="B193" s="4">
        <v>47</v>
      </c>
      <c r="C193" s="23">
        <f t="shared" si="10"/>
        <v>46</v>
      </c>
      <c r="D193" s="13">
        <f t="shared" si="11"/>
        <v>1</v>
      </c>
      <c r="E193" s="13">
        <f t="shared" si="12"/>
        <v>1</v>
      </c>
      <c r="F193" s="13">
        <f t="shared" si="13"/>
        <v>1</v>
      </c>
      <c r="G193" s="5">
        <f t="shared" si="14"/>
        <v>2.1276595744680851E-2</v>
      </c>
    </row>
    <row r="194" spans="1:7" ht="15.75" customHeight="1">
      <c r="A194" s="3">
        <v>21743</v>
      </c>
      <c r="B194" s="4">
        <v>26</v>
      </c>
      <c r="C194" s="23">
        <f t="shared" si="10"/>
        <v>44</v>
      </c>
      <c r="D194" s="13">
        <f t="shared" si="11"/>
        <v>-18</v>
      </c>
      <c r="E194" s="13">
        <f t="shared" si="12"/>
        <v>18</v>
      </c>
      <c r="F194" s="13">
        <f t="shared" si="13"/>
        <v>324</v>
      </c>
      <c r="G194" s="5">
        <f t="shared" si="14"/>
        <v>0.69230769230769229</v>
      </c>
    </row>
    <row r="195" spans="1:7" ht="15.75" customHeight="1">
      <c r="A195" s="3">
        <v>21744</v>
      </c>
      <c r="B195" s="4">
        <v>35</v>
      </c>
      <c r="C195" s="23">
        <f t="shared" si="10"/>
        <v>36.5</v>
      </c>
      <c r="D195" s="13">
        <f t="shared" si="11"/>
        <v>-1.5</v>
      </c>
      <c r="E195" s="13">
        <f t="shared" si="12"/>
        <v>1.5</v>
      </c>
      <c r="F195" s="13">
        <f t="shared" si="13"/>
        <v>2.25</v>
      </c>
      <c r="G195" s="5">
        <f t="shared" si="14"/>
        <v>4.2857142857142858E-2</v>
      </c>
    </row>
    <row r="196" spans="1:7" ht="15.75" customHeight="1">
      <c r="A196" s="3">
        <v>21745</v>
      </c>
      <c r="B196" s="4">
        <v>44</v>
      </c>
      <c r="C196" s="23">
        <f t="shared" si="10"/>
        <v>30.5</v>
      </c>
      <c r="D196" s="13">
        <f t="shared" si="11"/>
        <v>13.5</v>
      </c>
      <c r="E196" s="13">
        <f t="shared" si="12"/>
        <v>13.5</v>
      </c>
      <c r="F196" s="13">
        <f t="shared" si="13"/>
        <v>182.25</v>
      </c>
      <c r="G196" s="5">
        <f t="shared" si="14"/>
        <v>0.30681818181818182</v>
      </c>
    </row>
    <row r="197" spans="1:7" ht="15.75" customHeight="1">
      <c r="A197" s="3">
        <v>21746</v>
      </c>
      <c r="B197" s="4">
        <v>41</v>
      </c>
      <c r="C197" s="23">
        <f t="shared" ref="C197:C260" si="15">AVERAGE(B195:B196)</f>
        <v>39.5</v>
      </c>
      <c r="D197" s="13">
        <f t="shared" ref="D197:D260" si="16">B197-C197</f>
        <v>1.5</v>
      </c>
      <c r="E197" s="13">
        <f t="shared" ref="E197:E260" si="17">ABS(D197)</f>
        <v>1.5</v>
      </c>
      <c r="F197" s="13">
        <f t="shared" ref="F197:F260" si="18">E197^2</f>
        <v>2.25</v>
      </c>
      <c r="G197" s="5">
        <f t="shared" ref="G197:G260" si="19">E197/B197</f>
        <v>3.6585365853658534E-2</v>
      </c>
    </row>
    <row r="198" spans="1:7" ht="15.75" customHeight="1">
      <c r="A198" s="3">
        <v>21747</v>
      </c>
      <c r="B198" s="4">
        <v>42</v>
      </c>
      <c r="C198" s="23">
        <f t="shared" si="15"/>
        <v>42.5</v>
      </c>
      <c r="D198" s="13">
        <f t="shared" si="16"/>
        <v>-0.5</v>
      </c>
      <c r="E198" s="13">
        <f t="shared" si="17"/>
        <v>0.5</v>
      </c>
      <c r="F198" s="13">
        <f t="shared" si="18"/>
        <v>0.25</v>
      </c>
      <c r="G198" s="5">
        <f t="shared" si="19"/>
        <v>1.1904761904761904E-2</v>
      </c>
    </row>
    <row r="199" spans="1:7" ht="15.75" customHeight="1">
      <c r="A199" s="3">
        <v>21748</v>
      </c>
      <c r="B199" s="4">
        <v>36</v>
      </c>
      <c r="C199" s="23">
        <f t="shared" si="15"/>
        <v>41.5</v>
      </c>
      <c r="D199" s="13">
        <f t="shared" si="16"/>
        <v>-5.5</v>
      </c>
      <c r="E199" s="13">
        <f t="shared" si="17"/>
        <v>5.5</v>
      </c>
      <c r="F199" s="13">
        <f t="shared" si="18"/>
        <v>30.25</v>
      </c>
      <c r="G199" s="5">
        <f t="shared" si="19"/>
        <v>0.15277777777777779</v>
      </c>
    </row>
    <row r="200" spans="1:7" ht="15.75" customHeight="1">
      <c r="A200" s="3">
        <v>21749</v>
      </c>
      <c r="B200" s="4">
        <v>45</v>
      </c>
      <c r="C200" s="23">
        <f t="shared" si="15"/>
        <v>39</v>
      </c>
      <c r="D200" s="13">
        <f t="shared" si="16"/>
        <v>6</v>
      </c>
      <c r="E200" s="13">
        <f t="shared" si="17"/>
        <v>6</v>
      </c>
      <c r="F200" s="13">
        <f t="shared" si="18"/>
        <v>36</v>
      </c>
      <c r="G200" s="5">
        <f t="shared" si="19"/>
        <v>0.13333333333333333</v>
      </c>
    </row>
    <row r="201" spans="1:7" ht="15.75" customHeight="1">
      <c r="A201" s="3">
        <v>21750</v>
      </c>
      <c r="B201" s="4">
        <v>45</v>
      </c>
      <c r="C201" s="23">
        <f t="shared" si="15"/>
        <v>40.5</v>
      </c>
      <c r="D201" s="13">
        <f t="shared" si="16"/>
        <v>4.5</v>
      </c>
      <c r="E201" s="13">
        <f t="shared" si="17"/>
        <v>4.5</v>
      </c>
      <c r="F201" s="13">
        <f t="shared" si="18"/>
        <v>20.25</v>
      </c>
      <c r="G201" s="5">
        <f t="shared" si="19"/>
        <v>0.1</v>
      </c>
    </row>
    <row r="202" spans="1:7" ht="15.75" customHeight="1">
      <c r="A202" s="3">
        <v>21751</v>
      </c>
      <c r="B202" s="4">
        <v>45</v>
      </c>
      <c r="C202" s="23">
        <f t="shared" si="15"/>
        <v>45</v>
      </c>
      <c r="D202" s="13">
        <f t="shared" si="16"/>
        <v>0</v>
      </c>
      <c r="E202" s="13">
        <f t="shared" si="17"/>
        <v>0</v>
      </c>
      <c r="F202" s="13">
        <f t="shared" si="18"/>
        <v>0</v>
      </c>
      <c r="G202" s="5">
        <f t="shared" si="19"/>
        <v>0</v>
      </c>
    </row>
    <row r="203" spans="1:7" ht="15.75" customHeight="1">
      <c r="A203" s="3">
        <v>21752</v>
      </c>
      <c r="B203" s="4">
        <v>47</v>
      </c>
      <c r="C203" s="23">
        <f t="shared" si="15"/>
        <v>45</v>
      </c>
      <c r="D203" s="13">
        <f t="shared" si="16"/>
        <v>2</v>
      </c>
      <c r="E203" s="13">
        <f t="shared" si="17"/>
        <v>2</v>
      </c>
      <c r="F203" s="13">
        <f t="shared" si="18"/>
        <v>4</v>
      </c>
      <c r="G203" s="5">
        <f t="shared" si="19"/>
        <v>4.2553191489361701E-2</v>
      </c>
    </row>
    <row r="204" spans="1:7" ht="15.75" customHeight="1">
      <c r="A204" s="3">
        <v>21753</v>
      </c>
      <c r="B204" s="4">
        <v>38</v>
      </c>
      <c r="C204" s="23">
        <f t="shared" si="15"/>
        <v>46</v>
      </c>
      <c r="D204" s="13">
        <f t="shared" si="16"/>
        <v>-8</v>
      </c>
      <c r="E204" s="13">
        <f t="shared" si="17"/>
        <v>8</v>
      </c>
      <c r="F204" s="13">
        <f t="shared" si="18"/>
        <v>64</v>
      </c>
      <c r="G204" s="5">
        <f t="shared" si="19"/>
        <v>0.21052631578947367</v>
      </c>
    </row>
    <row r="205" spans="1:7" ht="15.75" customHeight="1">
      <c r="A205" s="3">
        <v>21754</v>
      </c>
      <c r="B205" s="4">
        <v>42</v>
      </c>
      <c r="C205" s="23">
        <f t="shared" si="15"/>
        <v>42.5</v>
      </c>
      <c r="D205" s="13">
        <f t="shared" si="16"/>
        <v>-0.5</v>
      </c>
      <c r="E205" s="13">
        <f t="shared" si="17"/>
        <v>0.5</v>
      </c>
      <c r="F205" s="13">
        <f t="shared" si="18"/>
        <v>0.25</v>
      </c>
      <c r="G205" s="5">
        <f t="shared" si="19"/>
        <v>1.1904761904761904E-2</v>
      </c>
    </row>
    <row r="206" spans="1:7" ht="15.75" customHeight="1">
      <c r="A206" s="3">
        <v>21755</v>
      </c>
      <c r="B206" s="4">
        <v>35</v>
      </c>
      <c r="C206" s="23">
        <f t="shared" si="15"/>
        <v>40</v>
      </c>
      <c r="D206" s="13">
        <f t="shared" si="16"/>
        <v>-5</v>
      </c>
      <c r="E206" s="13">
        <f t="shared" si="17"/>
        <v>5</v>
      </c>
      <c r="F206" s="13">
        <f t="shared" si="18"/>
        <v>25</v>
      </c>
      <c r="G206" s="5">
        <f t="shared" si="19"/>
        <v>0.14285714285714285</v>
      </c>
    </row>
    <row r="207" spans="1:7" ht="15.75" customHeight="1">
      <c r="A207" s="3">
        <v>21756</v>
      </c>
      <c r="B207" s="4">
        <v>36</v>
      </c>
      <c r="C207" s="23">
        <f t="shared" si="15"/>
        <v>38.5</v>
      </c>
      <c r="D207" s="13">
        <f t="shared" si="16"/>
        <v>-2.5</v>
      </c>
      <c r="E207" s="13">
        <f t="shared" si="17"/>
        <v>2.5</v>
      </c>
      <c r="F207" s="13">
        <f t="shared" si="18"/>
        <v>6.25</v>
      </c>
      <c r="G207" s="5">
        <f t="shared" si="19"/>
        <v>6.9444444444444448E-2</v>
      </c>
    </row>
    <row r="208" spans="1:7" ht="15.75" customHeight="1">
      <c r="A208" s="3">
        <v>21757</v>
      </c>
      <c r="B208" s="4">
        <v>39</v>
      </c>
      <c r="C208" s="23">
        <f t="shared" si="15"/>
        <v>35.5</v>
      </c>
      <c r="D208" s="13">
        <f t="shared" si="16"/>
        <v>3.5</v>
      </c>
      <c r="E208" s="13">
        <f t="shared" si="17"/>
        <v>3.5</v>
      </c>
      <c r="F208" s="13">
        <f t="shared" si="18"/>
        <v>12.25</v>
      </c>
      <c r="G208" s="5">
        <f t="shared" si="19"/>
        <v>8.9743589743589744E-2</v>
      </c>
    </row>
    <row r="209" spans="1:7" ht="15.75" customHeight="1">
      <c r="A209" s="3">
        <v>21758</v>
      </c>
      <c r="B209" s="4">
        <v>45</v>
      </c>
      <c r="C209" s="23">
        <f t="shared" si="15"/>
        <v>37.5</v>
      </c>
      <c r="D209" s="13">
        <f t="shared" si="16"/>
        <v>7.5</v>
      </c>
      <c r="E209" s="13">
        <f t="shared" si="17"/>
        <v>7.5</v>
      </c>
      <c r="F209" s="13">
        <f t="shared" si="18"/>
        <v>56.25</v>
      </c>
      <c r="G209" s="5">
        <f t="shared" si="19"/>
        <v>0.16666666666666666</v>
      </c>
    </row>
    <row r="210" spans="1:7" ht="15.75" customHeight="1">
      <c r="A210" s="3">
        <v>21759</v>
      </c>
      <c r="B210" s="4">
        <v>43</v>
      </c>
      <c r="C210" s="23">
        <f t="shared" si="15"/>
        <v>42</v>
      </c>
      <c r="D210" s="13">
        <f t="shared" si="16"/>
        <v>1</v>
      </c>
      <c r="E210" s="13">
        <f t="shared" si="17"/>
        <v>1</v>
      </c>
      <c r="F210" s="13">
        <f t="shared" si="18"/>
        <v>1</v>
      </c>
      <c r="G210" s="5">
        <f t="shared" si="19"/>
        <v>2.3255813953488372E-2</v>
      </c>
    </row>
    <row r="211" spans="1:7" ht="15.75" customHeight="1">
      <c r="A211" s="3">
        <v>21760</v>
      </c>
      <c r="B211" s="4">
        <v>47</v>
      </c>
      <c r="C211" s="23">
        <f t="shared" si="15"/>
        <v>44</v>
      </c>
      <c r="D211" s="13">
        <f t="shared" si="16"/>
        <v>3</v>
      </c>
      <c r="E211" s="13">
        <f t="shared" si="17"/>
        <v>3</v>
      </c>
      <c r="F211" s="13">
        <f t="shared" si="18"/>
        <v>9</v>
      </c>
      <c r="G211" s="5">
        <f t="shared" si="19"/>
        <v>6.3829787234042548E-2</v>
      </c>
    </row>
    <row r="212" spans="1:7" ht="15.75" customHeight="1">
      <c r="A212" s="3">
        <v>21761</v>
      </c>
      <c r="B212" s="4">
        <v>36</v>
      </c>
      <c r="C212" s="23">
        <f t="shared" si="15"/>
        <v>45</v>
      </c>
      <c r="D212" s="13">
        <f t="shared" si="16"/>
        <v>-9</v>
      </c>
      <c r="E212" s="13">
        <f t="shared" si="17"/>
        <v>9</v>
      </c>
      <c r="F212" s="13">
        <f t="shared" si="18"/>
        <v>81</v>
      </c>
      <c r="G212" s="5">
        <f t="shared" si="19"/>
        <v>0.25</v>
      </c>
    </row>
    <row r="213" spans="1:7" ht="15.75" customHeight="1">
      <c r="A213" s="3">
        <v>21762</v>
      </c>
      <c r="B213" s="4">
        <v>41</v>
      </c>
      <c r="C213" s="23">
        <f t="shared" si="15"/>
        <v>41.5</v>
      </c>
      <c r="D213" s="13">
        <f t="shared" si="16"/>
        <v>-0.5</v>
      </c>
      <c r="E213" s="13">
        <f t="shared" si="17"/>
        <v>0.5</v>
      </c>
      <c r="F213" s="13">
        <f t="shared" si="18"/>
        <v>0.25</v>
      </c>
      <c r="G213" s="5">
        <f t="shared" si="19"/>
        <v>1.2195121951219513E-2</v>
      </c>
    </row>
    <row r="214" spans="1:7" ht="15.75" customHeight="1">
      <c r="A214" s="3">
        <v>21763</v>
      </c>
      <c r="B214" s="4">
        <v>50</v>
      </c>
      <c r="C214" s="23">
        <f t="shared" si="15"/>
        <v>38.5</v>
      </c>
      <c r="D214" s="13">
        <f t="shared" si="16"/>
        <v>11.5</v>
      </c>
      <c r="E214" s="13">
        <f t="shared" si="17"/>
        <v>11.5</v>
      </c>
      <c r="F214" s="13">
        <f t="shared" si="18"/>
        <v>132.25</v>
      </c>
      <c r="G214" s="5">
        <f t="shared" si="19"/>
        <v>0.23</v>
      </c>
    </row>
    <row r="215" spans="1:7" ht="15.75" customHeight="1">
      <c r="A215" s="3">
        <v>21764</v>
      </c>
      <c r="B215" s="4">
        <v>39</v>
      </c>
      <c r="C215" s="23">
        <f t="shared" si="15"/>
        <v>45.5</v>
      </c>
      <c r="D215" s="13">
        <f t="shared" si="16"/>
        <v>-6.5</v>
      </c>
      <c r="E215" s="13">
        <f t="shared" si="17"/>
        <v>6.5</v>
      </c>
      <c r="F215" s="13">
        <f t="shared" si="18"/>
        <v>42.25</v>
      </c>
      <c r="G215" s="5">
        <f t="shared" si="19"/>
        <v>0.16666666666666666</v>
      </c>
    </row>
    <row r="216" spans="1:7" ht="15.75" customHeight="1">
      <c r="A216" s="3">
        <v>21765</v>
      </c>
      <c r="B216" s="4">
        <v>41</v>
      </c>
      <c r="C216" s="23">
        <f t="shared" si="15"/>
        <v>44.5</v>
      </c>
      <c r="D216" s="13">
        <f t="shared" si="16"/>
        <v>-3.5</v>
      </c>
      <c r="E216" s="13">
        <f t="shared" si="17"/>
        <v>3.5</v>
      </c>
      <c r="F216" s="13">
        <f t="shared" si="18"/>
        <v>12.25</v>
      </c>
      <c r="G216" s="5">
        <f t="shared" si="19"/>
        <v>8.5365853658536592E-2</v>
      </c>
    </row>
    <row r="217" spans="1:7" ht="15.75" customHeight="1">
      <c r="A217" s="3">
        <v>21766</v>
      </c>
      <c r="B217" s="4">
        <v>46</v>
      </c>
      <c r="C217" s="23">
        <f t="shared" si="15"/>
        <v>40</v>
      </c>
      <c r="D217" s="13">
        <f t="shared" si="16"/>
        <v>6</v>
      </c>
      <c r="E217" s="13">
        <f t="shared" si="17"/>
        <v>6</v>
      </c>
      <c r="F217" s="13">
        <f t="shared" si="18"/>
        <v>36</v>
      </c>
      <c r="G217" s="5">
        <f t="shared" si="19"/>
        <v>0.13043478260869565</v>
      </c>
    </row>
    <row r="218" spans="1:7" ht="15.75" customHeight="1">
      <c r="A218" s="3">
        <v>21767</v>
      </c>
      <c r="B218" s="4">
        <v>64</v>
      </c>
      <c r="C218" s="23">
        <f t="shared" si="15"/>
        <v>43.5</v>
      </c>
      <c r="D218" s="13">
        <f t="shared" si="16"/>
        <v>20.5</v>
      </c>
      <c r="E218" s="13">
        <f t="shared" si="17"/>
        <v>20.5</v>
      </c>
      <c r="F218" s="13">
        <f t="shared" si="18"/>
        <v>420.25</v>
      </c>
      <c r="G218" s="5">
        <f t="shared" si="19"/>
        <v>0.3203125</v>
      </c>
    </row>
    <row r="219" spans="1:7" ht="15.75" customHeight="1">
      <c r="A219" s="3">
        <v>21768</v>
      </c>
      <c r="B219" s="4">
        <v>45</v>
      </c>
      <c r="C219" s="23">
        <f t="shared" si="15"/>
        <v>55</v>
      </c>
      <c r="D219" s="13">
        <f t="shared" si="16"/>
        <v>-10</v>
      </c>
      <c r="E219" s="13">
        <f t="shared" si="17"/>
        <v>10</v>
      </c>
      <c r="F219" s="13">
        <f t="shared" si="18"/>
        <v>100</v>
      </c>
      <c r="G219" s="5">
        <f t="shared" si="19"/>
        <v>0.22222222222222221</v>
      </c>
    </row>
    <row r="220" spans="1:7" ht="15.75" customHeight="1">
      <c r="A220" s="3">
        <v>21769</v>
      </c>
      <c r="B220" s="4">
        <v>34</v>
      </c>
      <c r="C220" s="23">
        <f t="shared" si="15"/>
        <v>54.5</v>
      </c>
      <c r="D220" s="13">
        <f t="shared" si="16"/>
        <v>-20.5</v>
      </c>
      <c r="E220" s="13">
        <f t="shared" si="17"/>
        <v>20.5</v>
      </c>
      <c r="F220" s="13">
        <f t="shared" si="18"/>
        <v>420.25</v>
      </c>
      <c r="G220" s="5">
        <f t="shared" si="19"/>
        <v>0.6029411764705882</v>
      </c>
    </row>
    <row r="221" spans="1:7" ht="15.75" customHeight="1">
      <c r="A221" s="3">
        <v>21770</v>
      </c>
      <c r="B221" s="4">
        <v>38</v>
      </c>
      <c r="C221" s="23">
        <f t="shared" si="15"/>
        <v>39.5</v>
      </c>
      <c r="D221" s="13">
        <f t="shared" si="16"/>
        <v>-1.5</v>
      </c>
      <c r="E221" s="13">
        <f t="shared" si="17"/>
        <v>1.5</v>
      </c>
      <c r="F221" s="13">
        <f t="shared" si="18"/>
        <v>2.25</v>
      </c>
      <c r="G221" s="5">
        <f t="shared" si="19"/>
        <v>3.9473684210526314E-2</v>
      </c>
    </row>
    <row r="222" spans="1:7" ht="15.75" customHeight="1">
      <c r="A222" s="3">
        <v>21771</v>
      </c>
      <c r="B222" s="4">
        <v>44</v>
      </c>
      <c r="C222" s="23">
        <f t="shared" si="15"/>
        <v>36</v>
      </c>
      <c r="D222" s="13">
        <f t="shared" si="16"/>
        <v>8</v>
      </c>
      <c r="E222" s="13">
        <f t="shared" si="17"/>
        <v>8</v>
      </c>
      <c r="F222" s="13">
        <f t="shared" si="18"/>
        <v>64</v>
      </c>
      <c r="G222" s="5">
        <f t="shared" si="19"/>
        <v>0.18181818181818182</v>
      </c>
    </row>
    <row r="223" spans="1:7" ht="15.75" customHeight="1">
      <c r="A223" s="3">
        <v>21772</v>
      </c>
      <c r="B223" s="4">
        <v>48</v>
      </c>
      <c r="C223" s="23">
        <f t="shared" si="15"/>
        <v>41</v>
      </c>
      <c r="D223" s="13">
        <f t="shared" si="16"/>
        <v>7</v>
      </c>
      <c r="E223" s="13">
        <f t="shared" si="17"/>
        <v>7</v>
      </c>
      <c r="F223" s="13">
        <f t="shared" si="18"/>
        <v>49</v>
      </c>
      <c r="G223" s="5">
        <f t="shared" si="19"/>
        <v>0.14583333333333334</v>
      </c>
    </row>
    <row r="224" spans="1:7" ht="15.75" customHeight="1">
      <c r="A224" s="3">
        <v>21773</v>
      </c>
      <c r="B224" s="4">
        <v>46</v>
      </c>
      <c r="C224" s="23">
        <f t="shared" si="15"/>
        <v>46</v>
      </c>
      <c r="D224" s="13">
        <f t="shared" si="16"/>
        <v>0</v>
      </c>
      <c r="E224" s="13">
        <f t="shared" si="17"/>
        <v>0</v>
      </c>
      <c r="F224" s="13">
        <f t="shared" si="18"/>
        <v>0</v>
      </c>
      <c r="G224" s="5">
        <f t="shared" si="19"/>
        <v>0</v>
      </c>
    </row>
    <row r="225" spans="1:7" ht="15.75" customHeight="1">
      <c r="A225" s="3">
        <v>21774</v>
      </c>
      <c r="B225" s="4">
        <v>44</v>
      </c>
      <c r="C225" s="23">
        <f t="shared" si="15"/>
        <v>47</v>
      </c>
      <c r="D225" s="13">
        <f t="shared" si="16"/>
        <v>-3</v>
      </c>
      <c r="E225" s="13">
        <f t="shared" si="17"/>
        <v>3</v>
      </c>
      <c r="F225" s="13">
        <f t="shared" si="18"/>
        <v>9</v>
      </c>
      <c r="G225" s="5">
        <f t="shared" si="19"/>
        <v>6.8181818181818177E-2</v>
      </c>
    </row>
    <row r="226" spans="1:7" ht="15.75" customHeight="1">
      <c r="A226" s="3">
        <v>21775</v>
      </c>
      <c r="B226" s="4">
        <v>37</v>
      </c>
      <c r="C226" s="23">
        <f t="shared" si="15"/>
        <v>45</v>
      </c>
      <c r="D226" s="13">
        <f t="shared" si="16"/>
        <v>-8</v>
      </c>
      <c r="E226" s="13">
        <f t="shared" si="17"/>
        <v>8</v>
      </c>
      <c r="F226" s="13">
        <f t="shared" si="18"/>
        <v>64</v>
      </c>
      <c r="G226" s="5">
        <f t="shared" si="19"/>
        <v>0.21621621621621623</v>
      </c>
    </row>
    <row r="227" spans="1:7" ht="15.75" customHeight="1">
      <c r="A227" s="3">
        <v>21776</v>
      </c>
      <c r="B227" s="4">
        <v>39</v>
      </c>
      <c r="C227" s="23">
        <f t="shared" si="15"/>
        <v>40.5</v>
      </c>
      <c r="D227" s="13">
        <f t="shared" si="16"/>
        <v>-1.5</v>
      </c>
      <c r="E227" s="13">
        <f t="shared" si="17"/>
        <v>1.5</v>
      </c>
      <c r="F227" s="13">
        <f t="shared" si="18"/>
        <v>2.25</v>
      </c>
      <c r="G227" s="5">
        <f t="shared" si="19"/>
        <v>3.8461538461538464E-2</v>
      </c>
    </row>
    <row r="228" spans="1:7" ht="15.75" customHeight="1">
      <c r="A228" s="3">
        <v>21777</v>
      </c>
      <c r="B228" s="4">
        <v>44</v>
      </c>
      <c r="C228" s="23">
        <f t="shared" si="15"/>
        <v>38</v>
      </c>
      <c r="D228" s="13">
        <f t="shared" si="16"/>
        <v>6</v>
      </c>
      <c r="E228" s="13">
        <f t="shared" si="17"/>
        <v>6</v>
      </c>
      <c r="F228" s="13">
        <f t="shared" si="18"/>
        <v>36</v>
      </c>
      <c r="G228" s="5">
        <f t="shared" si="19"/>
        <v>0.13636363636363635</v>
      </c>
    </row>
    <row r="229" spans="1:7" ht="15.75" customHeight="1">
      <c r="A229" s="3">
        <v>21778</v>
      </c>
      <c r="B229" s="4">
        <v>45</v>
      </c>
      <c r="C229" s="23">
        <f t="shared" si="15"/>
        <v>41.5</v>
      </c>
      <c r="D229" s="13">
        <f t="shared" si="16"/>
        <v>3.5</v>
      </c>
      <c r="E229" s="13">
        <f t="shared" si="17"/>
        <v>3.5</v>
      </c>
      <c r="F229" s="13">
        <f t="shared" si="18"/>
        <v>12.25</v>
      </c>
      <c r="G229" s="5">
        <f t="shared" si="19"/>
        <v>7.7777777777777779E-2</v>
      </c>
    </row>
    <row r="230" spans="1:7" ht="15.75" customHeight="1">
      <c r="A230" s="3">
        <v>21779</v>
      </c>
      <c r="B230" s="4">
        <v>33</v>
      </c>
      <c r="C230" s="23">
        <f t="shared" si="15"/>
        <v>44.5</v>
      </c>
      <c r="D230" s="13">
        <f t="shared" si="16"/>
        <v>-11.5</v>
      </c>
      <c r="E230" s="13">
        <f t="shared" si="17"/>
        <v>11.5</v>
      </c>
      <c r="F230" s="13">
        <f t="shared" si="18"/>
        <v>132.25</v>
      </c>
      <c r="G230" s="5">
        <f t="shared" si="19"/>
        <v>0.34848484848484851</v>
      </c>
    </row>
    <row r="231" spans="1:7" ht="15.75" customHeight="1">
      <c r="A231" s="3">
        <v>21780</v>
      </c>
      <c r="B231" s="4">
        <v>44</v>
      </c>
      <c r="C231" s="23">
        <f t="shared" si="15"/>
        <v>39</v>
      </c>
      <c r="D231" s="13">
        <f t="shared" si="16"/>
        <v>5</v>
      </c>
      <c r="E231" s="13">
        <f t="shared" si="17"/>
        <v>5</v>
      </c>
      <c r="F231" s="13">
        <f t="shared" si="18"/>
        <v>25</v>
      </c>
      <c r="G231" s="5">
        <f t="shared" si="19"/>
        <v>0.11363636363636363</v>
      </c>
    </row>
    <row r="232" spans="1:7" ht="15.75" customHeight="1">
      <c r="A232" s="3">
        <v>21781</v>
      </c>
      <c r="B232" s="4">
        <v>38</v>
      </c>
      <c r="C232" s="23">
        <f t="shared" si="15"/>
        <v>38.5</v>
      </c>
      <c r="D232" s="13">
        <f t="shared" si="16"/>
        <v>-0.5</v>
      </c>
      <c r="E232" s="13">
        <f t="shared" si="17"/>
        <v>0.5</v>
      </c>
      <c r="F232" s="13">
        <f t="shared" si="18"/>
        <v>0.25</v>
      </c>
      <c r="G232" s="5">
        <f t="shared" si="19"/>
        <v>1.3157894736842105E-2</v>
      </c>
    </row>
    <row r="233" spans="1:7" ht="15.75" customHeight="1">
      <c r="A233" s="3">
        <v>21782</v>
      </c>
      <c r="B233" s="4">
        <v>46</v>
      </c>
      <c r="C233" s="23">
        <f t="shared" si="15"/>
        <v>41</v>
      </c>
      <c r="D233" s="13">
        <f t="shared" si="16"/>
        <v>5</v>
      </c>
      <c r="E233" s="13">
        <f t="shared" si="17"/>
        <v>5</v>
      </c>
      <c r="F233" s="13">
        <f t="shared" si="18"/>
        <v>25</v>
      </c>
      <c r="G233" s="5">
        <f t="shared" si="19"/>
        <v>0.10869565217391304</v>
      </c>
    </row>
    <row r="234" spans="1:7" ht="15.75" customHeight="1">
      <c r="A234" s="3">
        <v>21783</v>
      </c>
      <c r="B234" s="4">
        <v>46</v>
      </c>
      <c r="C234" s="23">
        <f t="shared" si="15"/>
        <v>42</v>
      </c>
      <c r="D234" s="13">
        <f t="shared" si="16"/>
        <v>4</v>
      </c>
      <c r="E234" s="13">
        <f t="shared" si="17"/>
        <v>4</v>
      </c>
      <c r="F234" s="13">
        <f t="shared" si="18"/>
        <v>16</v>
      </c>
      <c r="G234" s="5">
        <f t="shared" si="19"/>
        <v>8.6956521739130432E-2</v>
      </c>
    </row>
    <row r="235" spans="1:7" ht="15.75" customHeight="1">
      <c r="A235" s="3">
        <v>21784</v>
      </c>
      <c r="B235" s="4">
        <v>40</v>
      </c>
      <c r="C235" s="23">
        <f t="shared" si="15"/>
        <v>46</v>
      </c>
      <c r="D235" s="13">
        <f t="shared" si="16"/>
        <v>-6</v>
      </c>
      <c r="E235" s="13">
        <f t="shared" si="17"/>
        <v>6</v>
      </c>
      <c r="F235" s="13">
        <f t="shared" si="18"/>
        <v>36</v>
      </c>
      <c r="G235" s="5">
        <f t="shared" si="19"/>
        <v>0.15</v>
      </c>
    </row>
    <row r="236" spans="1:7" ht="15.75" customHeight="1">
      <c r="A236" s="3">
        <v>21785</v>
      </c>
      <c r="B236" s="4">
        <v>39</v>
      </c>
      <c r="C236" s="23">
        <f t="shared" si="15"/>
        <v>43</v>
      </c>
      <c r="D236" s="13">
        <f t="shared" si="16"/>
        <v>-4</v>
      </c>
      <c r="E236" s="13">
        <f t="shared" si="17"/>
        <v>4</v>
      </c>
      <c r="F236" s="13">
        <f t="shared" si="18"/>
        <v>16</v>
      </c>
      <c r="G236" s="5">
        <f t="shared" si="19"/>
        <v>0.10256410256410256</v>
      </c>
    </row>
    <row r="237" spans="1:7" ht="15.75" customHeight="1">
      <c r="A237" s="3">
        <v>21786</v>
      </c>
      <c r="B237" s="4">
        <v>44</v>
      </c>
      <c r="C237" s="23">
        <f t="shared" si="15"/>
        <v>39.5</v>
      </c>
      <c r="D237" s="13">
        <f t="shared" si="16"/>
        <v>4.5</v>
      </c>
      <c r="E237" s="13">
        <f t="shared" si="17"/>
        <v>4.5</v>
      </c>
      <c r="F237" s="13">
        <f t="shared" si="18"/>
        <v>20.25</v>
      </c>
      <c r="G237" s="5">
        <f t="shared" si="19"/>
        <v>0.10227272727272728</v>
      </c>
    </row>
    <row r="238" spans="1:7" ht="15.75" customHeight="1">
      <c r="A238" s="3">
        <v>21787</v>
      </c>
      <c r="B238" s="4">
        <v>48</v>
      </c>
      <c r="C238" s="23">
        <f t="shared" si="15"/>
        <v>41.5</v>
      </c>
      <c r="D238" s="13">
        <f t="shared" si="16"/>
        <v>6.5</v>
      </c>
      <c r="E238" s="13">
        <f t="shared" si="17"/>
        <v>6.5</v>
      </c>
      <c r="F238" s="13">
        <f t="shared" si="18"/>
        <v>42.25</v>
      </c>
      <c r="G238" s="5">
        <f t="shared" si="19"/>
        <v>0.13541666666666666</v>
      </c>
    </row>
    <row r="239" spans="1:7" ht="15.75" customHeight="1">
      <c r="A239" s="3">
        <v>21788</v>
      </c>
      <c r="B239" s="4">
        <v>50</v>
      </c>
      <c r="C239" s="23">
        <f t="shared" si="15"/>
        <v>46</v>
      </c>
      <c r="D239" s="13">
        <f t="shared" si="16"/>
        <v>4</v>
      </c>
      <c r="E239" s="13">
        <f t="shared" si="17"/>
        <v>4</v>
      </c>
      <c r="F239" s="13">
        <f t="shared" si="18"/>
        <v>16</v>
      </c>
      <c r="G239" s="5">
        <f t="shared" si="19"/>
        <v>0.08</v>
      </c>
    </row>
    <row r="240" spans="1:7" ht="15.75" customHeight="1">
      <c r="A240" s="3">
        <v>21789</v>
      </c>
      <c r="B240" s="4">
        <v>41</v>
      </c>
      <c r="C240" s="23">
        <f t="shared" si="15"/>
        <v>49</v>
      </c>
      <c r="D240" s="13">
        <f t="shared" si="16"/>
        <v>-8</v>
      </c>
      <c r="E240" s="13">
        <f t="shared" si="17"/>
        <v>8</v>
      </c>
      <c r="F240" s="13">
        <f t="shared" si="18"/>
        <v>64</v>
      </c>
      <c r="G240" s="5">
        <f t="shared" si="19"/>
        <v>0.1951219512195122</v>
      </c>
    </row>
    <row r="241" spans="1:7" ht="15.75" customHeight="1">
      <c r="A241" s="3">
        <v>21790</v>
      </c>
      <c r="B241" s="4">
        <v>42</v>
      </c>
      <c r="C241" s="23">
        <f t="shared" si="15"/>
        <v>45.5</v>
      </c>
      <c r="D241" s="13">
        <f t="shared" si="16"/>
        <v>-3.5</v>
      </c>
      <c r="E241" s="13">
        <f t="shared" si="17"/>
        <v>3.5</v>
      </c>
      <c r="F241" s="13">
        <f t="shared" si="18"/>
        <v>12.25</v>
      </c>
      <c r="G241" s="5">
        <f t="shared" si="19"/>
        <v>8.3333333333333329E-2</v>
      </c>
    </row>
    <row r="242" spans="1:7" ht="15.75" customHeight="1">
      <c r="A242" s="3">
        <v>21791</v>
      </c>
      <c r="B242" s="4">
        <v>51</v>
      </c>
      <c r="C242" s="23">
        <f t="shared" si="15"/>
        <v>41.5</v>
      </c>
      <c r="D242" s="13">
        <f t="shared" si="16"/>
        <v>9.5</v>
      </c>
      <c r="E242" s="13">
        <f t="shared" si="17"/>
        <v>9.5</v>
      </c>
      <c r="F242" s="13">
        <f t="shared" si="18"/>
        <v>90.25</v>
      </c>
      <c r="G242" s="5">
        <f t="shared" si="19"/>
        <v>0.18627450980392157</v>
      </c>
    </row>
    <row r="243" spans="1:7" ht="15.75" customHeight="1">
      <c r="A243" s="3">
        <v>21792</v>
      </c>
      <c r="B243" s="4">
        <v>41</v>
      </c>
      <c r="C243" s="23">
        <f t="shared" si="15"/>
        <v>46.5</v>
      </c>
      <c r="D243" s="13">
        <f t="shared" si="16"/>
        <v>-5.5</v>
      </c>
      <c r="E243" s="13">
        <f t="shared" si="17"/>
        <v>5.5</v>
      </c>
      <c r="F243" s="13">
        <f t="shared" si="18"/>
        <v>30.25</v>
      </c>
      <c r="G243" s="5">
        <f t="shared" si="19"/>
        <v>0.13414634146341464</v>
      </c>
    </row>
    <row r="244" spans="1:7" ht="15.75" customHeight="1">
      <c r="A244" s="3">
        <v>21793</v>
      </c>
      <c r="B244" s="4">
        <v>44</v>
      </c>
      <c r="C244" s="23">
        <f t="shared" si="15"/>
        <v>46</v>
      </c>
      <c r="D244" s="13">
        <f t="shared" si="16"/>
        <v>-2</v>
      </c>
      <c r="E244" s="13">
        <f t="shared" si="17"/>
        <v>2</v>
      </c>
      <c r="F244" s="13">
        <f t="shared" si="18"/>
        <v>4</v>
      </c>
      <c r="G244" s="5">
        <f t="shared" si="19"/>
        <v>4.5454545454545456E-2</v>
      </c>
    </row>
    <row r="245" spans="1:7" ht="15.75" customHeight="1">
      <c r="A245" s="3">
        <v>21794</v>
      </c>
      <c r="B245" s="4">
        <v>38</v>
      </c>
      <c r="C245" s="23">
        <f t="shared" si="15"/>
        <v>42.5</v>
      </c>
      <c r="D245" s="13">
        <f t="shared" si="16"/>
        <v>-4.5</v>
      </c>
      <c r="E245" s="13">
        <f t="shared" si="17"/>
        <v>4.5</v>
      </c>
      <c r="F245" s="13">
        <f t="shared" si="18"/>
        <v>20.25</v>
      </c>
      <c r="G245" s="5">
        <f t="shared" si="19"/>
        <v>0.11842105263157894</v>
      </c>
    </row>
    <row r="246" spans="1:7" ht="15.75" customHeight="1">
      <c r="A246" s="3">
        <v>21795</v>
      </c>
      <c r="B246" s="4">
        <v>68</v>
      </c>
      <c r="C246" s="23">
        <f t="shared" si="15"/>
        <v>41</v>
      </c>
      <c r="D246" s="13">
        <f t="shared" si="16"/>
        <v>27</v>
      </c>
      <c r="E246" s="13">
        <f t="shared" si="17"/>
        <v>27</v>
      </c>
      <c r="F246" s="13">
        <f t="shared" si="18"/>
        <v>729</v>
      </c>
      <c r="G246" s="5">
        <f t="shared" si="19"/>
        <v>0.39705882352941174</v>
      </c>
    </row>
    <row r="247" spans="1:7" ht="15.75" customHeight="1">
      <c r="A247" s="3">
        <v>21796</v>
      </c>
      <c r="B247" s="4">
        <v>40</v>
      </c>
      <c r="C247" s="23">
        <f t="shared" si="15"/>
        <v>53</v>
      </c>
      <c r="D247" s="13">
        <f t="shared" si="16"/>
        <v>-13</v>
      </c>
      <c r="E247" s="13">
        <f t="shared" si="17"/>
        <v>13</v>
      </c>
      <c r="F247" s="13">
        <f t="shared" si="18"/>
        <v>169</v>
      </c>
      <c r="G247" s="5">
        <f t="shared" si="19"/>
        <v>0.32500000000000001</v>
      </c>
    </row>
    <row r="248" spans="1:7" ht="15.75" customHeight="1">
      <c r="A248" s="3">
        <v>21797</v>
      </c>
      <c r="B248" s="4">
        <v>42</v>
      </c>
      <c r="C248" s="23">
        <f t="shared" si="15"/>
        <v>54</v>
      </c>
      <c r="D248" s="13">
        <f t="shared" si="16"/>
        <v>-12</v>
      </c>
      <c r="E248" s="13">
        <f t="shared" si="17"/>
        <v>12</v>
      </c>
      <c r="F248" s="13">
        <f t="shared" si="18"/>
        <v>144</v>
      </c>
      <c r="G248" s="5">
        <f t="shared" si="19"/>
        <v>0.2857142857142857</v>
      </c>
    </row>
    <row r="249" spans="1:7" ht="15.75" customHeight="1">
      <c r="A249" s="3">
        <v>21798</v>
      </c>
      <c r="B249" s="4">
        <v>51</v>
      </c>
      <c r="C249" s="23">
        <f t="shared" si="15"/>
        <v>41</v>
      </c>
      <c r="D249" s="13">
        <f t="shared" si="16"/>
        <v>10</v>
      </c>
      <c r="E249" s="13">
        <f t="shared" si="17"/>
        <v>10</v>
      </c>
      <c r="F249" s="13">
        <f t="shared" si="18"/>
        <v>100</v>
      </c>
      <c r="G249" s="5">
        <f t="shared" si="19"/>
        <v>0.19607843137254902</v>
      </c>
    </row>
    <row r="250" spans="1:7" ht="15.75" customHeight="1">
      <c r="A250" s="3">
        <v>21799</v>
      </c>
      <c r="B250" s="4">
        <v>44</v>
      </c>
      <c r="C250" s="23">
        <f t="shared" si="15"/>
        <v>46.5</v>
      </c>
      <c r="D250" s="13">
        <f t="shared" si="16"/>
        <v>-2.5</v>
      </c>
      <c r="E250" s="13">
        <f t="shared" si="17"/>
        <v>2.5</v>
      </c>
      <c r="F250" s="13">
        <f t="shared" si="18"/>
        <v>6.25</v>
      </c>
      <c r="G250" s="5">
        <f t="shared" si="19"/>
        <v>5.6818181818181816E-2</v>
      </c>
    </row>
    <row r="251" spans="1:7" ht="15.75" customHeight="1">
      <c r="A251" s="3">
        <v>21800</v>
      </c>
      <c r="B251" s="4">
        <v>45</v>
      </c>
      <c r="C251" s="23">
        <f t="shared" si="15"/>
        <v>47.5</v>
      </c>
      <c r="D251" s="13">
        <f t="shared" si="16"/>
        <v>-2.5</v>
      </c>
      <c r="E251" s="13">
        <f t="shared" si="17"/>
        <v>2.5</v>
      </c>
      <c r="F251" s="13">
        <f t="shared" si="18"/>
        <v>6.25</v>
      </c>
      <c r="G251" s="5">
        <f t="shared" si="19"/>
        <v>5.5555555555555552E-2</v>
      </c>
    </row>
    <row r="252" spans="1:7" ht="15.75" customHeight="1">
      <c r="A252" s="3">
        <v>21801</v>
      </c>
      <c r="B252" s="4">
        <v>36</v>
      </c>
      <c r="C252" s="23">
        <f t="shared" si="15"/>
        <v>44.5</v>
      </c>
      <c r="D252" s="13">
        <f t="shared" si="16"/>
        <v>-8.5</v>
      </c>
      <c r="E252" s="13">
        <f t="shared" si="17"/>
        <v>8.5</v>
      </c>
      <c r="F252" s="13">
        <f t="shared" si="18"/>
        <v>72.25</v>
      </c>
      <c r="G252" s="5">
        <f t="shared" si="19"/>
        <v>0.2361111111111111</v>
      </c>
    </row>
    <row r="253" spans="1:7" ht="15.75" customHeight="1">
      <c r="A253" s="3">
        <v>21802</v>
      </c>
      <c r="B253" s="4">
        <v>57</v>
      </c>
      <c r="C253" s="23">
        <f t="shared" si="15"/>
        <v>40.5</v>
      </c>
      <c r="D253" s="13">
        <f t="shared" si="16"/>
        <v>16.5</v>
      </c>
      <c r="E253" s="13">
        <f t="shared" si="17"/>
        <v>16.5</v>
      </c>
      <c r="F253" s="13">
        <f t="shared" si="18"/>
        <v>272.25</v>
      </c>
      <c r="G253" s="5">
        <f t="shared" si="19"/>
        <v>0.28947368421052633</v>
      </c>
    </row>
    <row r="254" spans="1:7" ht="15.75" customHeight="1">
      <c r="A254" s="3">
        <v>21803</v>
      </c>
      <c r="B254" s="4">
        <v>44</v>
      </c>
      <c r="C254" s="23">
        <f t="shared" si="15"/>
        <v>46.5</v>
      </c>
      <c r="D254" s="13">
        <f t="shared" si="16"/>
        <v>-2.5</v>
      </c>
      <c r="E254" s="13">
        <f t="shared" si="17"/>
        <v>2.5</v>
      </c>
      <c r="F254" s="13">
        <f t="shared" si="18"/>
        <v>6.25</v>
      </c>
      <c r="G254" s="5">
        <f t="shared" si="19"/>
        <v>5.6818181818181816E-2</v>
      </c>
    </row>
    <row r="255" spans="1:7" ht="15.75" customHeight="1">
      <c r="A255" s="3">
        <v>21804</v>
      </c>
      <c r="B255" s="4">
        <v>42</v>
      </c>
      <c r="C255" s="23">
        <f t="shared" si="15"/>
        <v>50.5</v>
      </c>
      <c r="D255" s="13">
        <f t="shared" si="16"/>
        <v>-8.5</v>
      </c>
      <c r="E255" s="13">
        <f t="shared" si="17"/>
        <v>8.5</v>
      </c>
      <c r="F255" s="13">
        <f t="shared" si="18"/>
        <v>72.25</v>
      </c>
      <c r="G255" s="5">
        <f t="shared" si="19"/>
        <v>0.20238095238095238</v>
      </c>
    </row>
    <row r="256" spans="1:7" ht="15.75" customHeight="1">
      <c r="A256" s="3">
        <v>21805</v>
      </c>
      <c r="B256" s="4">
        <v>53</v>
      </c>
      <c r="C256" s="23">
        <f t="shared" si="15"/>
        <v>43</v>
      </c>
      <c r="D256" s="13">
        <f t="shared" si="16"/>
        <v>10</v>
      </c>
      <c r="E256" s="13">
        <f t="shared" si="17"/>
        <v>10</v>
      </c>
      <c r="F256" s="13">
        <f t="shared" si="18"/>
        <v>100</v>
      </c>
      <c r="G256" s="5">
        <f t="shared" si="19"/>
        <v>0.18867924528301888</v>
      </c>
    </row>
    <row r="257" spans="1:7" ht="15.75" customHeight="1">
      <c r="A257" s="3">
        <v>21806</v>
      </c>
      <c r="B257" s="4">
        <v>42</v>
      </c>
      <c r="C257" s="23">
        <f t="shared" si="15"/>
        <v>47.5</v>
      </c>
      <c r="D257" s="13">
        <f t="shared" si="16"/>
        <v>-5.5</v>
      </c>
      <c r="E257" s="13">
        <f t="shared" si="17"/>
        <v>5.5</v>
      </c>
      <c r="F257" s="13">
        <f t="shared" si="18"/>
        <v>30.25</v>
      </c>
      <c r="G257" s="5">
        <f t="shared" si="19"/>
        <v>0.13095238095238096</v>
      </c>
    </row>
    <row r="258" spans="1:7" ht="15.75" customHeight="1">
      <c r="A258" s="3">
        <v>21807</v>
      </c>
      <c r="B258" s="4">
        <v>34</v>
      </c>
      <c r="C258" s="23">
        <f t="shared" si="15"/>
        <v>47.5</v>
      </c>
      <c r="D258" s="13">
        <f t="shared" si="16"/>
        <v>-13.5</v>
      </c>
      <c r="E258" s="13">
        <f t="shared" si="17"/>
        <v>13.5</v>
      </c>
      <c r="F258" s="13">
        <f t="shared" si="18"/>
        <v>182.25</v>
      </c>
      <c r="G258" s="5">
        <f t="shared" si="19"/>
        <v>0.39705882352941174</v>
      </c>
    </row>
    <row r="259" spans="1:7" ht="15.75" customHeight="1">
      <c r="A259" s="3">
        <v>21808</v>
      </c>
      <c r="B259" s="4">
        <v>40</v>
      </c>
      <c r="C259" s="23">
        <f t="shared" si="15"/>
        <v>38</v>
      </c>
      <c r="D259" s="13">
        <f t="shared" si="16"/>
        <v>2</v>
      </c>
      <c r="E259" s="13">
        <f t="shared" si="17"/>
        <v>2</v>
      </c>
      <c r="F259" s="13">
        <f t="shared" si="18"/>
        <v>4</v>
      </c>
      <c r="G259" s="5">
        <f t="shared" si="19"/>
        <v>0.05</v>
      </c>
    </row>
    <row r="260" spans="1:7" ht="15.75" customHeight="1">
      <c r="A260" s="3">
        <v>21809</v>
      </c>
      <c r="B260" s="4">
        <v>56</v>
      </c>
      <c r="C260" s="23">
        <f t="shared" si="15"/>
        <v>37</v>
      </c>
      <c r="D260" s="13">
        <f t="shared" si="16"/>
        <v>19</v>
      </c>
      <c r="E260" s="13">
        <f t="shared" si="17"/>
        <v>19</v>
      </c>
      <c r="F260" s="13">
        <f t="shared" si="18"/>
        <v>361</v>
      </c>
      <c r="G260" s="5">
        <f t="shared" si="19"/>
        <v>0.3392857142857143</v>
      </c>
    </row>
    <row r="261" spans="1:7" ht="15.75" customHeight="1">
      <c r="A261" s="3">
        <v>21810</v>
      </c>
      <c r="B261" s="4">
        <v>44</v>
      </c>
      <c r="C261" s="23">
        <f t="shared" ref="C261:C324" si="20">AVERAGE(B259:B260)</f>
        <v>48</v>
      </c>
      <c r="D261" s="13">
        <f t="shared" ref="D261:D324" si="21">B261-C261</f>
        <v>-4</v>
      </c>
      <c r="E261" s="13">
        <f t="shared" ref="E261:E324" si="22">ABS(D261)</f>
        <v>4</v>
      </c>
      <c r="F261" s="13">
        <f t="shared" ref="F261:F324" si="23">E261^2</f>
        <v>16</v>
      </c>
      <c r="G261" s="5">
        <f t="shared" ref="G261:G324" si="24">E261/B261</f>
        <v>9.0909090909090912E-2</v>
      </c>
    </row>
    <row r="262" spans="1:7" ht="15.75" customHeight="1">
      <c r="A262" s="3">
        <v>21811</v>
      </c>
      <c r="B262" s="4">
        <v>53</v>
      </c>
      <c r="C262" s="23">
        <f t="shared" si="20"/>
        <v>50</v>
      </c>
      <c r="D262" s="13">
        <f t="shared" si="21"/>
        <v>3</v>
      </c>
      <c r="E262" s="13">
        <f t="shared" si="22"/>
        <v>3</v>
      </c>
      <c r="F262" s="13">
        <f t="shared" si="23"/>
        <v>9</v>
      </c>
      <c r="G262" s="5">
        <f t="shared" si="24"/>
        <v>5.6603773584905662E-2</v>
      </c>
    </row>
    <row r="263" spans="1:7" ht="15.75" customHeight="1">
      <c r="A263" s="3">
        <v>21812</v>
      </c>
      <c r="B263" s="4">
        <v>55</v>
      </c>
      <c r="C263" s="23">
        <f t="shared" si="20"/>
        <v>48.5</v>
      </c>
      <c r="D263" s="13">
        <f t="shared" si="21"/>
        <v>6.5</v>
      </c>
      <c r="E263" s="13">
        <f t="shared" si="22"/>
        <v>6.5</v>
      </c>
      <c r="F263" s="13">
        <f t="shared" si="23"/>
        <v>42.25</v>
      </c>
      <c r="G263" s="5">
        <f t="shared" si="24"/>
        <v>0.11818181818181818</v>
      </c>
    </row>
    <row r="264" spans="1:7" ht="15.75" customHeight="1">
      <c r="A264" s="3">
        <v>21813</v>
      </c>
      <c r="B264" s="4">
        <v>39</v>
      </c>
      <c r="C264" s="23">
        <f t="shared" si="20"/>
        <v>54</v>
      </c>
      <c r="D264" s="13">
        <f t="shared" si="21"/>
        <v>-15</v>
      </c>
      <c r="E264" s="13">
        <f t="shared" si="22"/>
        <v>15</v>
      </c>
      <c r="F264" s="13">
        <f t="shared" si="23"/>
        <v>225</v>
      </c>
      <c r="G264" s="5">
        <f t="shared" si="24"/>
        <v>0.38461538461538464</v>
      </c>
    </row>
    <row r="265" spans="1:7" ht="15.75" customHeight="1">
      <c r="A265" s="3">
        <v>21814</v>
      </c>
      <c r="B265" s="4">
        <v>59</v>
      </c>
      <c r="C265" s="23">
        <f t="shared" si="20"/>
        <v>47</v>
      </c>
      <c r="D265" s="13">
        <f t="shared" si="21"/>
        <v>12</v>
      </c>
      <c r="E265" s="13">
        <f t="shared" si="22"/>
        <v>12</v>
      </c>
      <c r="F265" s="13">
        <f t="shared" si="23"/>
        <v>144</v>
      </c>
      <c r="G265" s="5">
        <f t="shared" si="24"/>
        <v>0.20338983050847459</v>
      </c>
    </row>
    <row r="266" spans="1:7" ht="15.75" customHeight="1">
      <c r="A266" s="3">
        <v>21815</v>
      </c>
      <c r="B266" s="4">
        <v>55</v>
      </c>
      <c r="C266" s="23">
        <f t="shared" si="20"/>
        <v>49</v>
      </c>
      <c r="D266" s="13">
        <f t="shared" si="21"/>
        <v>6</v>
      </c>
      <c r="E266" s="13">
        <f t="shared" si="22"/>
        <v>6</v>
      </c>
      <c r="F266" s="13">
        <f t="shared" si="23"/>
        <v>36</v>
      </c>
      <c r="G266" s="5">
        <f t="shared" si="24"/>
        <v>0.10909090909090909</v>
      </c>
    </row>
    <row r="267" spans="1:7" ht="15.75" customHeight="1">
      <c r="A267" s="3">
        <v>21816</v>
      </c>
      <c r="B267" s="4">
        <v>73</v>
      </c>
      <c r="C267" s="23">
        <f t="shared" si="20"/>
        <v>57</v>
      </c>
      <c r="D267" s="13">
        <f t="shared" si="21"/>
        <v>16</v>
      </c>
      <c r="E267" s="13">
        <f t="shared" si="22"/>
        <v>16</v>
      </c>
      <c r="F267" s="13">
        <f t="shared" si="23"/>
        <v>256</v>
      </c>
      <c r="G267" s="5">
        <f t="shared" si="24"/>
        <v>0.21917808219178081</v>
      </c>
    </row>
    <row r="268" spans="1:7" ht="15.75" customHeight="1">
      <c r="A268" s="3">
        <v>21817</v>
      </c>
      <c r="B268" s="4">
        <v>55</v>
      </c>
      <c r="C268" s="23">
        <f t="shared" si="20"/>
        <v>64</v>
      </c>
      <c r="D268" s="13">
        <f t="shared" si="21"/>
        <v>-9</v>
      </c>
      <c r="E268" s="13">
        <f t="shared" si="22"/>
        <v>9</v>
      </c>
      <c r="F268" s="13">
        <f t="shared" si="23"/>
        <v>81</v>
      </c>
      <c r="G268" s="5">
        <f t="shared" si="24"/>
        <v>0.16363636363636364</v>
      </c>
    </row>
    <row r="269" spans="1:7" ht="15.75" customHeight="1">
      <c r="A269" s="3">
        <v>21818</v>
      </c>
      <c r="B269" s="4">
        <v>44</v>
      </c>
      <c r="C269" s="23">
        <f t="shared" si="20"/>
        <v>64</v>
      </c>
      <c r="D269" s="13">
        <f t="shared" si="21"/>
        <v>-20</v>
      </c>
      <c r="E269" s="13">
        <f t="shared" si="22"/>
        <v>20</v>
      </c>
      <c r="F269" s="13">
        <f t="shared" si="23"/>
        <v>400</v>
      </c>
      <c r="G269" s="5">
        <f t="shared" si="24"/>
        <v>0.45454545454545453</v>
      </c>
    </row>
    <row r="270" spans="1:7" ht="15.75" customHeight="1">
      <c r="A270" s="3">
        <v>21819</v>
      </c>
      <c r="B270" s="4">
        <v>43</v>
      </c>
      <c r="C270" s="23">
        <f t="shared" si="20"/>
        <v>49.5</v>
      </c>
      <c r="D270" s="13">
        <f t="shared" si="21"/>
        <v>-6.5</v>
      </c>
      <c r="E270" s="13">
        <f t="shared" si="22"/>
        <v>6.5</v>
      </c>
      <c r="F270" s="13">
        <f t="shared" si="23"/>
        <v>42.25</v>
      </c>
      <c r="G270" s="5">
        <f t="shared" si="24"/>
        <v>0.15116279069767441</v>
      </c>
    </row>
    <row r="271" spans="1:7" ht="15.75" customHeight="1">
      <c r="A271" s="3">
        <v>21820</v>
      </c>
      <c r="B271" s="4">
        <v>40</v>
      </c>
      <c r="C271" s="23">
        <f t="shared" si="20"/>
        <v>43.5</v>
      </c>
      <c r="D271" s="13">
        <f t="shared" si="21"/>
        <v>-3.5</v>
      </c>
      <c r="E271" s="13">
        <f t="shared" si="22"/>
        <v>3.5</v>
      </c>
      <c r="F271" s="13">
        <f t="shared" si="23"/>
        <v>12.25</v>
      </c>
      <c r="G271" s="5">
        <f t="shared" si="24"/>
        <v>8.7499999999999994E-2</v>
      </c>
    </row>
    <row r="272" spans="1:7" ht="15.75" customHeight="1">
      <c r="A272" s="3">
        <v>21821</v>
      </c>
      <c r="B272" s="4">
        <v>47</v>
      </c>
      <c r="C272" s="23">
        <f t="shared" si="20"/>
        <v>41.5</v>
      </c>
      <c r="D272" s="13">
        <f t="shared" si="21"/>
        <v>5.5</v>
      </c>
      <c r="E272" s="13">
        <f t="shared" si="22"/>
        <v>5.5</v>
      </c>
      <c r="F272" s="13">
        <f t="shared" si="23"/>
        <v>30.25</v>
      </c>
      <c r="G272" s="5">
        <f t="shared" si="24"/>
        <v>0.11702127659574468</v>
      </c>
    </row>
    <row r="273" spans="1:7" ht="15.75" customHeight="1">
      <c r="A273" s="3">
        <v>21822</v>
      </c>
      <c r="B273" s="4">
        <v>51</v>
      </c>
      <c r="C273" s="23">
        <f t="shared" si="20"/>
        <v>43.5</v>
      </c>
      <c r="D273" s="13">
        <f t="shared" si="21"/>
        <v>7.5</v>
      </c>
      <c r="E273" s="13">
        <f t="shared" si="22"/>
        <v>7.5</v>
      </c>
      <c r="F273" s="13">
        <f t="shared" si="23"/>
        <v>56.25</v>
      </c>
      <c r="G273" s="5">
        <f t="shared" si="24"/>
        <v>0.14705882352941177</v>
      </c>
    </row>
    <row r="274" spans="1:7" ht="15.75" customHeight="1">
      <c r="A274" s="3">
        <v>21823</v>
      </c>
      <c r="B274" s="4">
        <v>56</v>
      </c>
      <c r="C274" s="23">
        <f t="shared" si="20"/>
        <v>49</v>
      </c>
      <c r="D274" s="13">
        <f t="shared" si="21"/>
        <v>7</v>
      </c>
      <c r="E274" s="13">
        <f t="shared" si="22"/>
        <v>7</v>
      </c>
      <c r="F274" s="13">
        <f t="shared" si="23"/>
        <v>49</v>
      </c>
      <c r="G274" s="5">
        <f t="shared" si="24"/>
        <v>0.125</v>
      </c>
    </row>
    <row r="275" spans="1:7" ht="15.75" customHeight="1">
      <c r="A275" s="3">
        <v>21824</v>
      </c>
      <c r="B275" s="4">
        <v>49</v>
      </c>
      <c r="C275" s="23">
        <f t="shared" si="20"/>
        <v>53.5</v>
      </c>
      <c r="D275" s="13">
        <f t="shared" si="21"/>
        <v>-4.5</v>
      </c>
      <c r="E275" s="13">
        <f t="shared" si="22"/>
        <v>4.5</v>
      </c>
      <c r="F275" s="13">
        <f t="shared" si="23"/>
        <v>20.25</v>
      </c>
      <c r="G275" s="5">
        <f t="shared" si="24"/>
        <v>9.1836734693877556E-2</v>
      </c>
    </row>
    <row r="276" spans="1:7" ht="15.75" customHeight="1">
      <c r="A276" s="3">
        <v>21825</v>
      </c>
      <c r="B276" s="4">
        <v>54</v>
      </c>
      <c r="C276" s="23">
        <f t="shared" si="20"/>
        <v>52.5</v>
      </c>
      <c r="D276" s="13">
        <f t="shared" si="21"/>
        <v>1.5</v>
      </c>
      <c r="E276" s="13">
        <f t="shared" si="22"/>
        <v>1.5</v>
      </c>
      <c r="F276" s="13">
        <f t="shared" si="23"/>
        <v>2.25</v>
      </c>
      <c r="G276" s="5">
        <f t="shared" si="24"/>
        <v>2.7777777777777776E-2</v>
      </c>
    </row>
    <row r="277" spans="1:7" ht="15.75" customHeight="1">
      <c r="A277" s="3">
        <v>21826</v>
      </c>
      <c r="B277" s="4">
        <v>56</v>
      </c>
      <c r="C277" s="23">
        <f t="shared" si="20"/>
        <v>51.5</v>
      </c>
      <c r="D277" s="13">
        <f t="shared" si="21"/>
        <v>4.5</v>
      </c>
      <c r="E277" s="13">
        <f t="shared" si="22"/>
        <v>4.5</v>
      </c>
      <c r="F277" s="13">
        <f t="shared" si="23"/>
        <v>20.25</v>
      </c>
      <c r="G277" s="5">
        <f t="shared" si="24"/>
        <v>8.0357142857142863E-2</v>
      </c>
    </row>
    <row r="278" spans="1:7" ht="15.75" customHeight="1">
      <c r="A278" s="3">
        <v>21827</v>
      </c>
      <c r="B278" s="4">
        <v>47</v>
      </c>
      <c r="C278" s="23">
        <f t="shared" si="20"/>
        <v>55</v>
      </c>
      <c r="D278" s="13">
        <f t="shared" si="21"/>
        <v>-8</v>
      </c>
      <c r="E278" s="13">
        <f t="shared" si="22"/>
        <v>8</v>
      </c>
      <c r="F278" s="13">
        <f t="shared" si="23"/>
        <v>64</v>
      </c>
      <c r="G278" s="5">
        <f t="shared" si="24"/>
        <v>0.1702127659574468</v>
      </c>
    </row>
    <row r="279" spans="1:7" ht="15.75" customHeight="1">
      <c r="A279" s="3">
        <v>21828</v>
      </c>
      <c r="B279" s="4">
        <v>44</v>
      </c>
      <c r="C279" s="23">
        <f t="shared" si="20"/>
        <v>51.5</v>
      </c>
      <c r="D279" s="13">
        <f t="shared" si="21"/>
        <v>-7.5</v>
      </c>
      <c r="E279" s="13">
        <f t="shared" si="22"/>
        <v>7.5</v>
      </c>
      <c r="F279" s="13">
        <f t="shared" si="23"/>
        <v>56.25</v>
      </c>
      <c r="G279" s="5">
        <f t="shared" si="24"/>
        <v>0.17045454545454544</v>
      </c>
    </row>
    <row r="280" spans="1:7" ht="15.75" customHeight="1">
      <c r="A280" s="3">
        <v>21829</v>
      </c>
      <c r="B280" s="4">
        <v>43</v>
      </c>
      <c r="C280" s="23">
        <f t="shared" si="20"/>
        <v>45.5</v>
      </c>
      <c r="D280" s="13">
        <f t="shared" si="21"/>
        <v>-2.5</v>
      </c>
      <c r="E280" s="13">
        <f t="shared" si="22"/>
        <v>2.5</v>
      </c>
      <c r="F280" s="13">
        <f t="shared" si="23"/>
        <v>6.25</v>
      </c>
      <c r="G280" s="5">
        <f t="shared" si="24"/>
        <v>5.8139534883720929E-2</v>
      </c>
    </row>
    <row r="281" spans="1:7" ht="15.75" customHeight="1">
      <c r="A281" s="3">
        <v>21830</v>
      </c>
      <c r="B281" s="4">
        <v>42</v>
      </c>
      <c r="C281" s="23">
        <f t="shared" si="20"/>
        <v>43.5</v>
      </c>
      <c r="D281" s="13">
        <f t="shared" si="21"/>
        <v>-1.5</v>
      </c>
      <c r="E281" s="13">
        <f t="shared" si="22"/>
        <v>1.5</v>
      </c>
      <c r="F281" s="13">
        <f t="shared" si="23"/>
        <v>2.25</v>
      </c>
      <c r="G281" s="5">
        <f t="shared" si="24"/>
        <v>3.5714285714285712E-2</v>
      </c>
    </row>
    <row r="282" spans="1:7" ht="15.75" customHeight="1">
      <c r="A282" s="3">
        <v>21831</v>
      </c>
      <c r="B282" s="4">
        <v>45</v>
      </c>
      <c r="C282" s="23">
        <f t="shared" si="20"/>
        <v>42.5</v>
      </c>
      <c r="D282" s="13">
        <f t="shared" si="21"/>
        <v>2.5</v>
      </c>
      <c r="E282" s="13">
        <f t="shared" si="22"/>
        <v>2.5</v>
      </c>
      <c r="F282" s="13">
        <f t="shared" si="23"/>
        <v>6.25</v>
      </c>
      <c r="G282" s="5">
        <f t="shared" si="24"/>
        <v>5.5555555555555552E-2</v>
      </c>
    </row>
    <row r="283" spans="1:7" ht="15.75" customHeight="1">
      <c r="A283" s="3">
        <v>21832</v>
      </c>
      <c r="B283" s="4">
        <v>50</v>
      </c>
      <c r="C283" s="23">
        <f t="shared" si="20"/>
        <v>43.5</v>
      </c>
      <c r="D283" s="13">
        <f t="shared" si="21"/>
        <v>6.5</v>
      </c>
      <c r="E283" s="13">
        <f t="shared" si="22"/>
        <v>6.5</v>
      </c>
      <c r="F283" s="13">
        <f t="shared" si="23"/>
        <v>42.25</v>
      </c>
      <c r="G283" s="5">
        <f t="shared" si="24"/>
        <v>0.13</v>
      </c>
    </row>
    <row r="284" spans="1:7" ht="15.75" customHeight="1">
      <c r="A284" s="3">
        <v>21833</v>
      </c>
      <c r="B284" s="4">
        <v>48</v>
      </c>
      <c r="C284" s="23">
        <f t="shared" si="20"/>
        <v>47.5</v>
      </c>
      <c r="D284" s="13">
        <f t="shared" si="21"/>
        <v>0.5</v>
      </c>
      <c r="E284" s="13">
        <f t="shared" si="22"/>
        <v>0.5</v>
      </c>
      <c r="F284" s="13">
        <f t="shared" si="23"/>
        <v>0.25</v>
      </c>
      <c r="G284" s="5">
        <f t="shared" si="24"/>
        <v>1.0416666666666666E-2</v>
      </c>
    </row>
    <row r="285" spans="1:7" ht="15.75" customHeight="1">
      <c r="A285" s="3">
        <v>21834</v>
      </c>
      <c r="B285" s="4">
        <v>43</v>
      </c>
      <c r="C285" s="23">
        <f t="shared" si="20"/>
        <v>49</v>
      </c>
      <c r="D285" s="13">
        <f t="shared" si="21"/>
        <v>-6</v>
      </c>
      <c r="E285" s="13">
        <f t="shared" si="22"/>
        <v>6</v>
      </c>
      <c r="F285" s="13">
        <f t="shared" si="23"/>
        <v>36</v>
      </c>
      <c r="G285" s="5">
        <f t="shared" si="24"/>
        <v>0.13953488372093023</v>
      </c>
    </row>
    <row r="286" spans="1:7" ht="15.75" customHeight="1">
      <c r="A286" s="3">
        <v>21835</v>
      </c>
      <c r="B286" s="4">
        <v>40</v>
      </c>
      <c r="C286" s="23">
        <f t="shared" si="20"/>
        <v>45.5</v>
      </c>
      <c r="D286" s="13">
        <f t="shared" si="21"/>
        <v>-5.5</v>
      </c>
      <c r="E286" s="13">
        <f t="shared" si="22"/>
        <v>5.5</v>
      </c>
      <c r="F286" s="13">
        <f t="shared" si="23"/>
        <v>30.25</v>
      </c>
      <c r="G286" s="5">
        <f t="shared" si="24"/>
        <v>0.13750000000000001</v>
      </c>
    </row>
    <row r="287" spans="1:7" ht="15.75" customHeight="1">
      <c r="A287" s="3">
        <v>21836</v>
      </c>
      <c r="B287" s="4">
        <v>59</v>
      </c>
      <c r="C287" s="23">
        <f t="shared" si="20"/>
        <v>41.5</v>
      </c>
      <c r="D287" s="13">
        <f t="shared" si="21"/>
        <v>17.5</v>
      </c>
      <c r="E287" s="13">
        <f t="shared" si="22"/>
        <v>17.5</v>
      </c>
      <c r="F287" s="13">
        <f t="shared" si="23"/>
        <v>306.25</v>
      </c>
      <c r="G287" s="5">
        <f t="shared" si="24"/>
        <v>0.29661016949152541</v>
      </c>
    </row>
    <row r="288" spans="1:7" ht="15.75" customHeight="1">
      <c r="A288" s="3">
        <v>21837</v>
      </c>
      <c r="B288" s="4">
        <v>41</v>
      </c>
      <c r="C288" s="23">
        <f t="shared" si="20"/>
        <v>49.5</v>
      </c>
      <c r="D288" s="13">
        <f t="shared" si="21"/>
        <v>-8.5</v>
      </c>
      <c r="E288" s="13">
        <f t="shared" si="22"/>
        <v>8.5</v>
      </c>
      <c r="F288" s="13">
        <f t="shared" si="23"/>
        <v>72.25</v>
      </c>
      <c r="G288" s="5">
        <f t="shared" si="24"/>
        <v>0.2073170731707317</v>
      </c>
    </row>
    <row r="289" spans="1:7" ht="15.75" customHeight="1">
      <c r="A289" s="3">
        <v>21838</v>
      </c>
      <c r="B289" s="4">
        <v>42</v>
      </c>
      <c r="C289" s="23">
        <f t="shared" si="20"/>
        <v>50</v>
      </c>
      <c r="D289" s="13">
        <f t="shared" si="21"/>
        <v>-8</v>
      </c>
      <c r="E289" s="13">
        <f t="shared" si="22"/>
        <v>8</v>
      </c>
      <c r="F289" s="13">
        <f t="shared" si="23"/>
        <v>64</v>
      </c>
      <c r="G289" s="5">
        <f t="shared" si="24"/>
        <v>0.19047619047619047</v>
      </c>
    </row>
    <row r="290" spans="1:7" ht="15.75" customHeight="1">
      <c r="A290" s="3">
        <v>21839</v>
      </c>
      <c r="B290" s="4">
        <v>51</v>
      </c>
      <c r="C290" s="23">
        <f t="shared" si="20"/>
        <v>41.5</v>
      </c>
      <c r="D290" s="13">
        <f t="shared" si="21"/>
        <v>9.5</v>
      </c>
      <c r="E290" s="13">
        <f t="shared" si="22"/>
        <v>9.5</v>
      </c>
      <c r="F290" s="13">
        <f t="shared" si="23"/>
        <v>90.25</v>
      </c>
      <c r="G290" s="5">
        <f t="shared" si="24"/>
        <v>0.18627450980392157</v>
      </c>
    </row>
    <row r="291" spans="1:7" ht="15.75" customHeight="1">
      <c r="A291" s="3">
        <v>21840</v>
      </c>
      <c r="B291" s="4">
        <v>49</v>
      </c>
      <c r="C291" s="23">
        <f t="shared" si="20"/>
        <v>46.5</v>
      </c>
      <c r="D291" s="13">
        <f t="shared" si="21"/>
        <v>2.5</v>
      </c>
      <c r="E291" s="13">
        <f t="shared" si="22"/>
        <v>2.5</v>
      </c>
      <c r="F291" s="13">
        <f t="shared" si="23"/>
        <v>6.25</v>
      </c>
      <c r="G291" s="5">
        <f t="shared" si="24"/>
        <v>5.1020408163265307E-2</v>
      </c>
    </row>
    <row r="292" spans="1:7" ht="15.75" customHeight="1">
      <c r="A292" s="3">
        <v>21841</v>
      </c>
      <c r="B292" s="4">
        <v>45</v>
      </c>
      <c r="C292" s="23">
        <f t="shared" si="20"/>
        <v>50</v>
      </c>
      <c r="D292" s="13">
        <f t="shared" si="21"/>
        <v>-5</v>
      </c>
      <c r="E292" s="13">
        <f t="shared" si="22"/>
        <v>5</v>
      </c>
      <c r="F292" s="13">
        <f t="shared" si="23"/>
        <v>25</v>
      </c>
      <c r="G292" s="5">
        <f t="shared" si="24"/>
        <v>0.1111111111111111</v>
      </c>
    </row>
    <row r="293" spans="1:7" ht="15.75" customHeight="1">
      <c r="A293" s="3">
        <v>21842</v>
      </c>
      <c r="B293" s="4">
        <v>43</v>
      </c>
      <c r="C293" s="23">
        <f t="shared" si="20"/>
        <v>47</v>
      </c>
      <c r="D293" s="13">
        <f t="shared" si="21"/>
        <v>-4</v>
      </c>
      <c r="E293" s="13">
        <f t="shared" si="22"/>
        <v>4</v>
      </c>
      <c r="F293" s="13">
        <f t="shared" si="23"/>
        <v>16</v>
      </c>
      <c r="G293" s="5">
        <f t="shared" si="24"/>
        <v>9.3023255813953487E-2</v>
      </c>
    </row>
    <row r="294" spans="1:7" ht="15.75" customHeight="1">
      <c r="A294" s="3">
        <v>21843</v>
      </c>
      <c r="B294" s="4">
        <v>42</v>
      </c>
      <c r="C294" s="23">
        <f t="shared" si="20"/>
        <v>44</v>
      </c>
      <c r="D294" s="13">
        <f t="shared" si="21"/>
        <v>-2</v>
      </c>
      <c r="E294" s="13">
        <f t="shared" si="22"/>
        <v>2</v>
      </c>
      <c r="F294" s="13">
        <f t="shared" si="23"/>
        <v>4</v>
      </c>
      <c r="G294" s="5">
        <f t="shared" si="24"/>
        <v>4.7619047619047616E-2</v>
      </c>
    </row>
    <row r="295" spans="1:7" ht="15.75" customHeight="1">
      <c r="A295" s="3">
        <v>21844</v>
      </c>
      <c r="B295" s="4">
        <v>38</v>
      </c>
      <c r="C295" s="23">
        <f t="shared" si="20"/>
        <v>42.5</v>
      </c>
      <c r="D295" s="13">
        <f t="shared" si="21"/>
        <v>-4.5</v>
      </c>
      <c r="E295" s="13">
        <f t="shared" si="22"/>
        <v>4.5</v>
      </c>
      <c r="F295" s="13">
        <f t="shared" si="23"/>
        <v>20.25</v>
      </c>
      <c r="G295" s="5">
        <f t="shared" si="24"/>
        <v>0.11842105263157894</v>
      </c>
    </row>
    <row r="296" spans="1:7" ht="15.75" customHeight="1">
      <c r="A296" s="3">
        <v>21845</v>
      </c>
      <c r="B296" s="4">
        <v>47</v>
      </c>
      <c r="C296" s="23">
        <f t="shared" si="20"/>
        <v>40</v>
      </c>
      <c r="D296" s="13">
        <f t="shared" si="21"/>
        <v>7</v>
      </c>
      <c r="E296" s="13">
        <f t="shared" si="22"/>
        <v>7</v>
      </c>
      <c r="F296" s="13">
        <f t="shared" si="23"/>
        <v>49</v>
      </c>
      <c r="G296" s="5">
        <f t="shared" si="24"/>
        <v>0.14893617021276595</v>
      </c>
    </row>
    <row r="297" spans="1:7" ht="15.75" customHeight="1">
      <c r="A297" s="3">
        <v>21846</v>
      </c>
      <c r="B297" s="4">
        <v>38</v>
      </c>
      <c r="C297" s="23">
        <f t="shared" si="20"/>
        <v>42.5</v>
      </c>
      <c r="D297" s="13">
        <f t="shared" si="21"/>
        <v>-4.5</v>
      </c>
      <c r="E297" s="13">
        <f t="shared" si="22"/>
        <v>4.5</v>
      </c>
      <c r="F297" s="13">
        <f t="shared" si="23"/>
        <v>20.25</v>
      </c>
      <c r="G297" s="5">
        <f t="shared" si="24"/>
        <v>0.11842105263157894</v>
      </c>
    </row>
    <row r="298" spans="1:7" ht="15.75" customHeight="1">
      <c r="A298" s="3">
        <v>21847</v>
      </c>
      <c r="B298" s="4">
        <v>36</v>
      </c>
      <c r="C298" s="23">
        <f t="shared" si="20"/>
        <v>42.5</v>
      </c>
      <c r="D298" s="13">
        <f t="shared" si="21"/>
        <v>-6.5</v>
      </c>
      <c r="E298" s="13">
        <f t="shared" si="22"/>
        <v>6.5</v>
      </c>
      <c r="F298" s="13">
        <f t="shared" si="23"/>
        <v>42.25</v>
      </c>
      <c r="G298" s="5">
        <f t="shared" si="24"/>
        <v>0.18055555555555555</v>
      </c>
    </row>
    <row r="299" spans="1:7" ht="15.75" customHeight="1">
      <c r="A299" s="3">
        <v>21848</v>
      </c>
      <c r="B299" s="4">
        <v>42</v>
      </c>
      <c r="C299" s="23">
        <f t="shared" si="20"/>
        <v>37</v>
      </c>
      <c r="D299" s="13">
        <f t="shared" si="21"/>
        <v>5</v>
      </c>
      <c r="E299" s="13">
        <f t="shared" si="22"/>
        <v>5</v>
      </c>
      <c r="F299" s="13">
        <f t="shared" si="23"/>
        <v>25</v>
      </c>
      <c r="G299" s="5">
        <f t="shared" si="24"/>
        <v>0.11904761904761904</v>
      </c>
    </row>
    <row r="300" spans="1:7" ht="15.75" customHeight="1">
      <c r="A300" s="3">
        <v>21849</v>
      </c>
      <c r="B300" s="4">
        <v>35</v>
      </c>
      <c r="C300" s="23">
        <f t="shared" si="20"/>
        <v>39</v>
      </c>
      <c r="D300" s="13">
        <f t="shared" si="21"/>
        <v>-4</v>
      </c>
      <c r="E300" s="13">
        <f t="shared" si="22"/>
        <v>4</v>
      </c>
      <c r="F300" s="13">
        <f t="shared" si="23"/>
        <v>16</v>
      </c>
      <c r="G300" s="5">
        <f t="shared" si="24"/>
        <v>0.11428571428571428</v>
      </c>
    </row>
    <row r="301" spans="1:7" ht="15.75" customHeight="1">
      <c r="A301" s="3">
        <v>21850</v>
      </c>
      <c r="B301" s="4">
        <v>28</v>
      </c>
      <c r="C301" s="23">
        <f t="shared" si="20"/>
        <v>38.5</v>
      </c>
      <c r="D301" s="13">
        <f t="shared" si="21"/>
        <v>-10.5</v>
      </c>
      <c r="E301" s="13">
        <f t="shared" si="22"/>
        <v>10.5</v>
      </c>
      <c r="F301" s="13">
        <f t="shared" si="23"/>
        <v>110.25</v>
      </c>
      <c r="G301" s="5">
        <f t="shared" si="24"/>
        <v>0.375</v>
      </c>
    </row>
    <row r="302" spans="1:7" ht="15.75" customHeight="1">
      <c r="A302" s="3">
        <v>21851</v>
      </c>
      <c r="B302" s="4">
        <v>44</v>
      </c>
      <c r="C302" s="23">
        <f t="shared" si="20"/>
        <v>31.5</v>
      </c>
      <c r="D302" s="13">
        <f t="shared" si="21"/>
        <v>12.5</v>
      </c>
      <c r="E302" s="13">
        <f t="shared" si="22"/>
        <v>12.5</v>
      </c>
      <c r="F302" s="13">
        <f t="shared" si="23"/>
        <v>156.25</v>
      </c>
      <c r="G302" s="5">
        <f t="shared" si="24"/>
        <v>0.28409090909090912</v>
      </c>
    </row>
    <row r="303" spans="1:7" ht="15.75" customHeight="1">
      <c r="A303" s="3">
        <v>21852</v>
      </c>
      <c r="B303" s="4">
        <v>36</v>
      </c>
      <c r="C303" s="23">
        <f t="shared" si="20"/>
        <v>36</v>
      </c>
      <c r="D303" s="13">
        <f t="shared" si="21"/>
        <v>0</v>
      </c>
      <c r="E303" s="13">
        <f t="shared" si="22"/>
        <v>0</v>
      </c>
      <c r="F303" s="13">
        <f t="shared" si="23"/>
        <v>0</v>
      </c>
      <c r="G303" s="5">
        <f t="shared" si="24"/>
        <v>0</v>
      </c>
    </row>
    <row r="304" spans="1:7" ht="15.75" customHeight="1">
      <c r="A304" s="3">
        <v>21853</v>
      </c>
      <c r="B304" s="4">
        <v>45</v>
      </c>
      <c r="C304" s="23">
        <f t="shared" si="20"/>
        <v>40</v>
      </c>
      <c r="D304" s="13">
        <f t="shared" si="21"/>
        <v>5</v>
      </c>
      <c r="E304" s="13">
        <f t="shared" si="22"/>
        <v>5</v>
      </c>
      <c r="F304" s="13">
        <f t="shared" si="23"/>
        <v>25</v>
      </c>
      <c r="G304" s="5">
        <f t="shared" si="24"/>
        <v>0.1111111111111111</v>
      </c>
    </row>
    <row r="305" spans="1:7" ht="15.75" customHeight="1">
      <c r="A305" s="3">
        <v>21854</v>
      </c>
      <c r="B305" s="4">
        <v>46</v>
      </c>
      <c r="C305" s="23">
        <f t="shared" si="20"/>
        <v>40.5</v>
      </c>
      <c r="D305" s="13">
        <f t="shared" si="21"/>
        <v>5.5</v>
      </c>
      <c r="E305" s="13">
        <f t="shared" si="22"/>
        <v>5.5</v>
      </c>
      <c r="F305" s="13">
        <f t="shared" si="23"/>
        <v>30.25</v>
      </c>
      <c r="G305" s="5">
        <f t="shared" si="24"/>
        <v>0.11956521739130435</v>
      </c>
    </row>
    <row r="306" spans="1:7" ht="15.75" customHeight="1">
      <c r="A306" s="3">
        <v>21855</v>
      </c>
      <c r="B306" s="4">
        <v>48</v>
      </c>
      <c r="C306" s="23">
        <f t="shared" si="20"/>
        <v>45.5</v>
      </c>
      <c r="D306" s="13">
        <f t="shared" si="21"/>
        <v>2.5</v>
      </c>
      <c r="E306" s="13">
        <f t="shared" si="22"/>
        <v>2.5</v>
      </c>
      <c r="F306" s="13">
        <f t="shared" si="23"/>
        <v>6.25</v>
      </c>
      <c r="G306" s="5">
        <f t="shared" si="24"/>
        <v>5.2083333333333336E-2</v>
      </c>
    </row>
    <row r="307" spans="1:7" ht="15.75" customHeight="1">
      <c r="A307" s="3">
        <v>21856</v>
      </c>
      <c r="B307" s="4">
        <v>49</v>
      </c>
      <c r="C307" s="23">
        <f t="shared" si="20"/>
        <v>47</v>
      </c>
      <c r="D307" s="13">
        <f t="shared" si="21"/>
        <v>2</v>
      </c>
      <c r="E307" s="13">
        <f t="shared" si="22"/>
        <v>2</v>
      </c>
      <c r="F307" s="13">
        <f t="shared" si="23"/>
        <v>4</v>
      </c>
      <c r="G307" s="5">
        <f t="shared" si="24"/>
        <v>4.0816326530612242E-2</v>
      </c>
    </row>
    <row r="308" spans="1:7" ht="15.75" customHeight="1">
      <c r="A308" s="3">
        <v>21857</v>
      </c>
      <c r="B308" s="4">
        <v>43</v>
      </c>
      <c r="C308" s="23">
        <f t="shared" si="20"/>
        <v>48.5</v>
      </c>
      <c r="D308" s="13">
        <f t="shared" si="21"/>
        <v>-5.5</v>
      </c>
      <c r="E308" s="13">
        <f t="shared" si="22"/>
        <v>5.5</v>
      </c>
      <c r="F308" s="13">
        <f t="shared" si="23"/>
        <v>30.25</v>
      </c>
      <c r="G308" s="5">
        <f t="shared" si="24"/>
        <v>0.12790697674418605</v>
      </c>
    </row>
    <row r="309" spans="1:7" ht="15.75" customHeight="1">
      <c r="A309" s="3">
        <v>21858</v>
      </c>
      <c r="B309" s="4">
        <v>42</v>
      </c>
      <c r="C309" s="23">
        <f t="shared" si="20"/>
        <v>46</v>
      </c>
      <c r="D309" s="13">
        <f t="shared" si="21"/>
        <v>-4</v>
      </c>
      <c r="E309" s="13">
        <f t="shared" si="22"/>
        <v>4</v>
      </c>
      <c r="F309" s="13">
        <f t="shared" si="23"/>
        <v>16</v>
      </c>
      <c r="G309" s="5">
        <f t="shared" si="24"/>
        <v>9.5238095238095233E-2</v>
      </c>
    </row>
    <row r="310" spans="1:7" ht="15.75" customHeight="1">
      <c r="A310" s="3">
        <v>21859</v>
      </c>
      <c r="B310" s="4">
        <v>59</v>
      </c>
      <c r="C310" s="23">
        <f t="shared" si="20"/>
        <v>42.5</v>
      </c>
      <c r="D310" s="13">
        <f t="shared" si="21"/>
        <v>16.5</v>
      </c>
      <c r="E310" s="13">
        <f t="shared" si="22"/>
        <v>16.5</v>
      </c>
      <c r="F310" s="13">
        <f t="shared" si="23"/>
        <v>272.25</v>
      </c>
      <c r="G310" s="5">
        <f t="shared" si="24"/>
        <v>0.27966101694915252</v>
      </c>
    </row>
    <row r="311" spans="1:7" ht="15.75" customHeight="1">
      <c r="A311" s="3">
        <v>21860</v>
      </c>
      <c r="B311" s="4">
        <v>45</v>
      </c>
      <c r="C311" s="23">
        <f t="shared" si="20"/>
        <v>50.5</v>
      </c>
      <c r="D311" s="13">
        <f t="shared" si="21"/>
        <v>-5.5</v>
      </c>
      <c r="E311" s="13">
        <f t="shared" si="22"/>
        <v>5.5</v>
      </c>
      <c r="F311" s="13">
        <f t="shared" si="23"/>
        <v>30.25</v>
      </c>
      <c r="G311" s="5">
        <f t="shared" si="24"/>
        <v>0.12222222222222222</v>
      </c>
    </row>
    <row r="312" spans="1:7" ht="15.75" customHeight="1">
      <c r="A312" s="3">
        <v>21861</v>
      </c>
      <c r="B312" s="4">
        <v>52</v>
      </c>
      <c r="C312" s="23">
        <f t="shared" si="20"/>
        <v>52</v>
      </c>
      <c r="D312" s="13">
        <f t="shared" si="21"/>
        <v>0</v>
      </c>
      <c r="E312" s="13">
        <f t="shared" si="22"/>
        <v>0</v>
      </c>
      <c r="F312" s="13">
        <f t="shared" si="23"/>
        <v>0</v>
      </c>
      <c r="G312" s="5">
        <f t="shared" si="24"/>
        <v>0</v>
      </c>
    </row>
    <row r="313" spans="1:7" ht="15.75" customHeight="1">
      <c r="A313" s="3">
        <v>21862</v>
      </c>
      <c r="B313" s="4">
        <v>46</v>
      </c>
      <c r="C313" s="23">
        <f t="shared" si="20"/>
        <v>48.5</v>
      </c>
      <c r="D313" s="13">
        <f t="shared" si="21"/>
        <v>-2.5</v>
      </c>
      <c r="E313" s="13">
        <f t="shared" si="22"/>
        <v>2.5</v>
      </c>
      <c r="F313" s="13">
        <f t="shared" si="23"/>
        <v>6.25</v>
      </c>
      <c r="G313" s="5">
        <f t="shared" si="24"/>
        <v>5.434782608695652E-2</v>
      </c>
    </row>
    <row r="314" spans="1:7" ht="15.75" customHeight="1">
      <c r="A314" s="3">
        <v>21863</v>
      </c>
      <c r="B314" s="4">
        <v>42</v>
      </c>
      <c r="C314" s="23">
        <f t="shared" si="20"/>
        <v>49</v>
      </c>
      <c r="D314" s="13">
        <f t="shared" si="21"/>
        <v>-7</v>
      </c>
      <c r="E314" s="13">
        <f t="shared" si="22"/>
        <v>7</v>
      </c>
      <c r="F314" s="13">
        <f t="shared" si="23"/>
        <v>49</v>
      </c>
      <c r="G314" s="5">
        <f t="shared" si="24"/>
        <v>0.16666666666666666</v>
      </c>
    </row>
    <row r="315" spans="1:7" ht="15.75" customHeight="1">
      <c r="A315" s="3">
        <v>21864</v>
      </c>
      <c r="B315" s="4">
        <v>40</v>
      </c>
      <c r="C315" s="23">
        <f t="shared" si="20"/>
        <v>44</v>
      </c>
      <c r="D315" s="13">
        <f t="shared" si="21"/>
        <v>-4</v>
      </c>
      <c r="E315" s="13">
        <f t="shared" si="22"/>
        <v>4</v>
      </c>
      <c r="F315" s="13">
        <f t="shared" si="23"/>
        <v>16</v>
      </c>
      <c r="G315" s="5">
        <f t="shared" si="24"/>
        <v>0.1</v>
      </c>
    </row>
    <row r="316" spans="1:7" ht="15.75" customHeight="1">
      <c r="A316" s="3">
        <v>21865</v>
      </c>
      <c r="B316" s="4">
        <v>40</v>
      </c>
      <c r="C316" s="23">
        <f t="shared" si="20"/>
        <v>41</v>
      </c>
      <c r="D316" s="13">
        <f t="shared" si="21"/>
        <v>-1</v>
      </c>
      <c r="E316" s="13">
        <f t="shared" si="22"/>
        <v>1</v>
      </c>
      <c r="F316" s="13">
        <f t="shared" si="23"/>
        <v>1</v>
      </c>
      <c r="G316" s="5">
        <f t="shared" si="24"/>
        <v>2.5000000000000001E-2</v>
      </c>
    </row>
    <row r="317" spans="1:7" ht="15.75" customHeight="1">
      <c r="A317" s="3">
        <v>21866</v>
      </c>
      <c r="B317" s="4">
        <v>45</v>
      </c>
      <c r="C317" s="23">
        <f t="shared" si="20"/>
        <v>40</v>
      </c>
      <c r="D317" s="13">
        <f t="shared" si="21"/>
        <v>5</v>
      </c>
      <c r="E317" s="13">
        <f t="shared" si="22"/>
        <v>5</v>
      </c>
      <c r="F317" s="13">
        <f t="shared" si="23"/>
        <v>25</v>
      </c>
      <c r="G317" s="5">
        <f t="shared" si="24"/>
        <v>0.1111111111111111</v>
      </c>
    </row>
    <row r="318" spans="1:7" ht="15.75" customHeight="1">
      <c r="A318" s="3">
        <v>21867</v>
      </c>
      <c r="B318" s="4">
        <v>35</v>
      </c>
      <c r="C318" s="23">
        <f t="shared" si="20"/>
        <v>42.5</v>
      </c>
      <c r="D318" s="13">
        <f t="shared" si="21"/>
        <v>-7.5</v>
      </c>
      <c r="E318" s="13">
        <f t="shared" si="22"/>
        <v>7.5</v>
      </c>
      <c r="F318" s="13">
        <f t="shared" si="23"/>
        <v>56.25</v>
      </c>
      <c r="G318" s="5">
        <f t="shared" si="24"/>
        <v>0.21428571428571427</v>
      </c>
    </row>
    <row r="319" spans="1:7" ht="15.75" customHeight="1">
      <c r="A319" s="3">
        <v>21868</v>
      </c>
      <c r="B319" s="4">
        <v>35</v>
      </c>
      <c r="C319" s="23">
        <f t="shared" si="20"/>
        <v>40</v>
      </c>
      <c r="D319" s="13">
        <f t="shared" si="21"/>
        <v>-5</v>
      </c>
      <c r="E319" s="13">
        <f t="shared" si="22"/>
        <v>5</v>
      </c>
      <c r="F319" s="13">
        <f t="shared" si="23"/>
        <v>25</v>
      </c>
      <c r="G319" s="5">
        <f t="shared" si="24"/>
        <v>0.14285714285714285</v>
      </c>
    </row>
    <row r="320" spans="1:7" ht="15.75" customHeight="1">
      <c r="A320" s="3">
        <v>21869</v>
      </c>
      <c r="B320" s="4">
        <v>40</v>
      </c>
      <c r="C320" s="23">
        <f t="shared" si="20"/>
        <v>35</v>
      </c>
      <c r="D320" s="13">
        <f t="shared" si="21"/>
        <v>5</v>
      </c>
      <c r="E320" s="13">
        <f t="shared" si="22"/>
        <v>5</v>
      </c>
      <c r="F320" s="13">
        <f t="shared" si="23"/>
        <v>25</v>
      </c>
      <c r="G320" s="5">
        <f t="shared" si="24"/>
        <v>0.125</v>
      </c>
    </row>
    <row r="321" spans="1:7" ht="15.75" customHeight="1">
      <c r="A321" s="3">
        <v>21870</v>
      </c>
      <c r="B321" s="4">
        <v>39</v>
      </c>
      <c r="C321" s="23">
        <f t="shared" si="20"/>
        <v>37.5</v>
      </c>
      <c r="D321" s="13">
        <f t="shared" si="21"/>
        <v>1.5</v>
      </c>
      <c r="E321" s="13">
        <f t="shared" si="22"/>
        <v>1.5</v>
      </c>
      <c r="F321" s="13">
        <f t="shared" si="23"/>
        <v>2.25</v>
      </c>
      <c r="G321" s="5">
        <f t="shared" si="24"/>
        <v>3.8461538461538464E-2</v>
      </c>
    </row>
    <row r="322" spans="1:7" ht="15.75" customHeight="1">
      <c r="A322" s="3">
        <v>21871</v>
      </c>
      <c r="B322" s="4">
        <v>33</v>
      </c>
      <c r="C322" s="23">
        <f t="shared" si="20"/>
        <v>39.5</v>
      </c>
      <c r="D322" s="13">
        <f t="shared" si="21"/>
        <v>-6.5</v>
      </c>
      <c r="E322" s="13">
        <f t="shared" si="22"/>
        <v>6.5</v>
      </c>
      <c r="F322" s="13">
        <f t="shared" si="23"/>
        <v>42.25</v>
      </c>
      <c r="G322" s="5">
        <f t="shared" si="24"/>
        <v>0.19696969696969696</v>
      </c>
    </row>
    <row r="323" spans="1:7" ht="15.75" customHeight="1">
      <c r="A323" s="3">
        <v>21872</v>
      </c>
      <c r="B323" s="4">
        <v>42</v>
      </c>
      <c r="C323" s="23">
        <f t="shared" si="20"/>
        <v>36</v>
      </c>
      <c r="D323" s="13">
        <f t="shared" si="21"/>
        <v>6</v>
      </c>
      <c r="E323" s="13">
        <f t="shared" si="22"/>
        <v>6</v>
      </c>
      <c r="F323" s="13">
        <f t="shared" si="23"/>
        <v>36</v>
      </c>
      <c r="G323" s="5">
        <f t="shared" si="24"/>
        <v>0.14285714285714285</v>
      </c>
    </row>
    <row r="324" spans="1:7" ht="15.75" customHeight="1">
      <c r="A324" s="3">
        <v>21873</v>
      </c>
      <c r="B324" s="4">
        <v>47</v>
      </c>
      <c r="C324" s="23">
        <f t="shared" si="20"/>
        <v>37.5</v>
      </c>
      <c r="D324" s="13">
        <f t="shared" si="21"/>
        <v>9.5</v>
      </c>
      <c r="E324" s="13">
        <f t="shared" si="22"/>
        <v>9.5</v>
      </c>
      <c r="F324" s="13">
        <f t="shared" si="23"/>
        <v>90.25</v>
      </c>
      <c r="G324" s="5">
        <f t="shared" si="24"/>
        <v>0.20212765957446807</v>
      </c>
    </row>
    <row r="325" spans="1:7" ht="15.75" customHeight="1">
      <c r="A325" s="3">
        <v>21874</v>
      </c>
      <c r="B325" s="4">
        <v>51</v>
      </c>
      <c r="C325" s="23">
        <f t="shared" ref="C325:C366" si="25">AVERAGE(B323:B324)</f>
        <v>44.5</v>
      </c>
      <c r="D325" s="13">
        <f t="shared" ref="D325:D366" si="26">B325-C325</f>
        <v>6.5</v>
      </c>
      <c r="E325" s="13">
        <f t="shared" ref="E325:E366" si="27">ABS(D325)</f>
        <v>6.5</v>
      </c>
      <c r="F325" s="13">
        <f t="shared" ref="F325:F366" si="28">E325^2</f>
        <v>42.25</v>
      </c>
      <c r="G325" s="5">
        <f t="shared" ref="G325:G366" si="29">E325/B325</f>
        <v>0.12745098039215685</v>
      </c>
    </row>
    <row r="326" spans="1:7" ht="15.75" customHeight="1">
      <c r="A326" s="3">
        <v>21875</v>
      </c>
      <c r="B326" s="4">
        <v>44</v>
      </c>
      <c r="C326" s="23">
        <f t="shared" si="25"/>
        <v>49</v>
      </c>
      <c r="D326" s="13">
        <f t="shared" si="26"/>
        <v>-5</v>
      </c>
      <c r="E326" s="13">
        <f t="shared" si="27"/>
        <v>5</v>
      </c>
      <c r="F326" s="13">
        <f t="shared" si="28"/>
        <v>25</v>
      </c>
      <c r="G326" s="5">
        <f t="shared" si="29"/>
        <v>0.11363636363636363</v>
      </c>
    </row>
    <row r="327" spans="1:7" ht="15.75" customHeight="1">
      <c r="A327" s="3">
        <v>21876</v>
      </c>
      <c r="B327" s="4">
        <v>40</v>
      </c>
      <c r="C327" s="23">
        <f t="shared" si="25"/>
        <v>47.5</v>
      </c>
      <c r="D327" s="13">
        <f t="shared" si="26"/>
        <v>-7.5</v>
      </c>
      <c r="E327" s="13">
        <f t="shared" si="27"/>
        <v>7.5</v>
      </c>
      <c r="F327" s="13">
        <f t="shared" si="28"/>
        <v>56.25</v>
      </c>
      <c r="G327" s="5">
        <f t="shared" si="29"/>
        <v>0.1875</v>
      </c>
    </row>
    <row r="328" spans="1:7" ht="15.75" customHeight="1">
      <c r="A328" s="3">
        <v>21877</v>
      </c>
      <c r="B328" s="4">
        <v>57</v>
      </c>
      <c r="C328" s="23">
        <f t="shared" si="25"/>
        <v>42</v>
      </c>
      <c r="D328" s="13">
        <f t="shared" si="26"/>
        <v>15</v>
      </c>
      <c r="E328" s="13">
        <f t="shared" si="27"/>
        <v>15</v>
      </c>
      <c r="F328" s="13">
        <f t="shared" si="28"/>
        <v>225</v>
      </c>
      <c r="G328" s="5">
        <f t="shared" si="29"/>
        <v>0.26315789473684209</v>
      </c>
    </row>
    <row r="329" spans="1:7" ht="15.75" customHeight="1">
      <c r="A329" s="3">
        <v>21878</v>
      </c>
      <c r="B329" s="4">
        <v>49</v>
      </c>
      <c r="C329" s="23">
        <f t="shared" si="25"/>
        <v>48.5</v>
      </c>
      <c r="D329" s="13">
        <f t="shared" si="26"/>
        <v>0.5</v>
      </c>
      <c r="E329" s="13">
        <f t="shared" si="27"/>
        <v>0.5</v>
      </c>
      <c r="F329" s="13">
        <f t="shared" si="28"/>
        <v>0.25</v>
      </c>
      <c r="G329" s="5">
        <f t="shared" si="29"/>
        <v>1.020408163265306E-2</v>
      </c>
    </row>
    <row r="330" spans="1:7" ht="15.75" customHeight="1">
      <c r="A330" s="3">
        <v>21879</v>
      </c>
      <c r="B330" s="4">
        <v>45</v>
      </c>
      <c r="C330" s="23">
        <f t="shared" si="25"/>
        <v>53</v>
      </c>
      <c r="D330" s="13">
        <f t="shared" si="26"/>
        <v>-8</v>
      </c>
      <c r="E330" s="13">
        <f t="shared" si="27"/>
        <v>8</v>
      </c>
      <c r="F330" s="13">
        <f t="shared" si="28"/>
        <v>64</v>
      </c>
      <c r="G330" s="5">
        <f t="shared" si="29"/>
        <v>0.17777777777777778</v>
      </c>
    </row>
    <row r="331" spans="1:7" ht="15.75" customHeight="1">
      <c r="A331" s="3">
        <v>21880</v>
      </c>
      <c r="B331" s="4">
        <v>49</v>
      </c>
      <c r="C331" s="23">
        <f t="shared" si="25"/>
        <v>47</v>
      </c>
      <c r="D331" s="13">
        <f t="shared" si="26"/>
        <v>2</v>
      </c>
      <c r="E331" s="13">
        <f t="shared" si="27"/>
        <v>2</v>
      </c>
      <c r="F331" s="13">
        <f t="shared" si="28"/>
        <v>4</v>
      </c>
      <c r="G331" s="5">
        <f t="shared" si="29"/>
        <v>4.0816326530612242E-2</v>
      </c>
    </row>
    <row r="332" spans="1:7" ht="15.75" customHeight="1">
      <c r="A332" s="3">
        <v>21881</v>
      </c>
      <c r="B332" s="4">
        <v>51</v>
      </c>
      <c r="C332" s="23">
        <f t="shared" si="25"/>
        <v>47</v>
      </c>
      <c r="D332" s="13">
        <f t="shared" si="26"/>
        <v>4</v>
      </c>
      <c r="E332" s="13">
        <f t="shared" si="27"/>
        <v>4</v>
      </c>
      <c r="F332" s="13">
        <f t="shared" si="28"/>
        <v>16</v>
      </c>
      <c r="G332" s="5">
        <f t="shared" si="29"/>
        <v>7.8431372549019607E-2</v>
      </c>
    </row>
    <row r="333" spans="1:7" ht="15.75" customHeight="1">
      <c r="A333" s="3">
        <v>21882</v>
      </c>
      <c r="B333" s="4">
        <v>46</v>
      </c>
      <c r="C333" s="23">
        <f t="shared" si="25"/>
        <v>50</v>
      </c>
      <c r="D333" s="13">
        <f t="shared" si="26"/>
        <v>-4</v>
      </c>
      <c r="E333" s="13">
        <f t="shared" si="27"/>
        <v>4</v>
      </c>
      <c r="F333" s="13">
        <f t="shared" si="28"/>
        <v>16</v>
      </c>
      <c r="G333" s="5">
        <f t="shared" si="29"/>
        <v>8.6956521739130432E-2</v>
      </c>
    </row>
    <row r="334" spans="1:7" ht="15.75" customHeight="1">
      <c r="A334" s="3">
        <v>21883</v>
      </c>
      <c r="B334" s="4">
        <v>44</v>
      </c>
      <c r="C334" s="23">
        <f t="shared" si="25"/>
        <v>48.5</v>
      </c>
      <c r="D334" s="13">
        <f t="shared" si="26"/>
        <v>-4.5</v>
      </c>
      <c r="E334" s="13">
        <f t="shared" si="27"/>
        <v>4.5</v>
      </c>
      <c r="F334" s="13">
        <f t="shared" si="28"/>
        <v>20.25</v>
      </c>
      <c r="G334" s="5">
        <f t="shared" si="29"/>
        <v>0.10227272727272728</v>
      </c>
    </row>
    <row r="335" spans="1:7" ht="15.75" customHeight="1">
      <c r="A335" s="3">
        <v>21884</v>
      </c>
      <c r="B335" s="4">
        <v>52</v>
      </c>
      <c r="C335" s="23">
        <f t="shared" si="25"/>
        <v>45</v>
      </c>
      <c r="D335" s="13">
        <f t="shared" si="26"/>
        <v>7</v>
      </c>
      <c r="E335" s="13">
        <f t="shared" si="27"/>
        <v>7</v>
      </c>
      <c r="F335" s="13">
        <f t="shared" si="28"/>
        <v>49</v>
      </c>
      <c r="G335" s="5">
        <f t="shared" si="29"/>
        <v>0.13461538461538461</v>
      </c>
    </row>
    <row r="336" spans="1:7" ht="15.75" customHeight="1">
      <c r="A336" s="3">
        <v>21885</v>
      </c>
      <c r="B336" s="4">
        <v>45</v>
      </c>
      <c r="C336" s="23">
        <f t="shared" si="25"/>
        <v>48</v>
      </c>
      <c r="D336" s="13">
        <f t="shared" si="26"/>
        <v>-3</v>
      </c>
      <c r="E336" s="13">
        <f t="shared" si="27"/>
        <v>3</v>
      </c>
      <c r="F336" s="13">
        <f t="shared" si="28"/>
        <v>9</v>
      </c>
      <c r="G336" s="5">
        <f t="shared" si="29"/>
        <v>6.6666666666666666E-2</v>
      </c>
    </row>
    <row r="337" spans="1:7" ht="15.75" customHeight="1">
      <c r="A337" s="3">
        <v>21886</v>
      </c>
      <c r="B337" s="4">
        <v>32</v>
      </c>
      <c r="C337" s="23">
        <f t="shared" si="25"/>
        <v>48.5</v>
      </c>
      <c r="D337" s="13">
        <f t="shared" si="26"/>
        <v>-16.5</v>
      </c>
      <c r="E337" s="13">
        <f t="shared" si="27"/>
        <v>16.5</v>
      </c>
      <c r="F337" s="13">
        <f t="shared" si="28"/>
        <v>272.25</v>
      </c>
      <c r="G337" s="5">
        <f t="shared" si="29"/>
        <v>0.515625</v>
      </c>
    </row>
    <row r="338" spans="1:7" ht="15.75" customHeight="1">
      <c r="A338" s="3">
        <v>21887</v>
      </c>
      <c r="B338" s="4">
        <v>46</v>
      </c>
      <c r="C338" s="23">
        <f t="shared" si="25"/>
        <v>38.5</v>
      </c>
      <c r="D338" s="13">
        <f t="shared" si="26"/>
        <v>7.5</v>
      </c>
      <c r="E338" s="13">
        <f t="shared" si="27"/>
        <v>7.5</v>
      </c>
      <c r="F338" s="13">
        <f t="shared" si="28"/>
        <v>56.25</v>
      </c>
      <c r="G338" s="5">
        <f t="shared" si="29"/>
        <v>0.16304347826086957</v>
      </c>
    </row>
    <row r="339" spans="1:7" ht="15.75" customHeight="1">
      <c r="A339" s="3">
        <v>21888</v>
      </c>
      <c r="B339" s="4">
        <v>41</v>
      </c>
      <c r="C339" s="23">
        <f t="shared" si="25"/>
        <v>39</v>
      </c>
      <c r="D339" s="13">
        <f t="shared" si="26"/>
        <v>2</v>
      </c>
      <c r="E339" s="13">
        <f t="shared" si="27"/>
        <v>2</v>
      </c>
      <c r="F339" s="13">
        <f t="shared" si="28"/>
        <v>4</v>
      </c>
      <c r="G339" s="5">
        <f t="shared" si="29"/>
        <v>4.878048780487805E-2</v>
      </c>
    </row>
    <row r="340" spans="1:7" ht="15.75" customHeight="1">
      <c r="A340" s="3">
        <v>21889</v>
      </c>
      <c r="B340" s="4">
        <v>34</v>
      </c>
      <c r="C340" s="23">
        <f t="shared" si="25"/>
        <v>43.5</v>
      </c>
      <c r="D340" s="13">
        <f t="shared" si="26"/>
        <v>-9.5</v>
      </c>
      <c r="E340" s="13">
        <f t="shared" si="27"/>
        <v>9.5</v>
      </c>
      <c r="F340" s="13">
        <f t="shared" si="28"/>
        <v>90.25</v>
      </c>
      <c r="G340" s="5">
        <f t="shared" si="29"/>
        <v>0.27941176470588236</v>
      </c>
    </row>
    <row r="341" spans="1:7" ht="15.75" customHeight="1">
      <c r="A341" s="3">
        <v>21890</v>
      </c>
      <c r="B341" s="4">
        <v>33</v>
      </c>
      <c r="C341" s="23">
        <f t="shared" si="25"/>
        <v>37.5</v>
      </c>
      <c r="D341" s="13">
        <f t="shared" si="26"/>
        <v>-4.5</v>
      </c>
      <c r="E341" s="13">
        <f t="shared" si="27"/>
        <v>4.5</v>
      </c>
      <c r="F341" s="13">
        <f t="shared" si="28"/>
        <v>20.25</v>
      </c>
      <c r="G341" s="5">
        <f t="shared" si="29"/>
        <v>0.13636363636363635</v>
      </c>
    </row>
    <row r="342" spans="1:7" ht="15.75" customHeight="1">
      <c r="A342" s="3">
        <v>21891</v>
      </c>
      <c r="B342" s="4">
        <v>36</v>
      </c>
      <c r="C342" s="23">
        <f t="shared" si="25"/>
        <v>33.5</v>
      </c>
      <c r="D342" s="13">
        <f t="shared" si="26"/>
        <v>2.5</v>
      </c>
      <c r="E342" s="13">
        <f t="shared" si="27"/>
        <v>2.5</v>
      </c>
      <c r="F342" s="13">
        <f t="shared" si="28"/>
        <v>6.25</v>
      </c>
      <c r="G342" s="5">
        <f t="shared" si="29"/>
        <v>6.9444444444444448E-2</v>
      </c>
    </row>
    <row r="343" spans="1:7" ht="15.75" customHeight="1">
      <c r="A343" s="3">
        <v>21892</v>
      </c>
      <c r="B343" s="4">
        <v>49</v>
      </c>
      <c r="C343" s="23">
        <f t="shared" si="25"/>
        <v>34.5</v>
      </c>
      <c r="D343" s="13">
        <f t="shared" si="26"/>
        <v>14.5</v>
      </c>
      <c r="E343" s="13">
        <f t="shared" si="27"/>
        <v>14.5</v>
      </c>
      <c r="F343" s="13">
        <f t="shared" si="28"/>
        <v>210.25</v>
      </c>
      <c r="G343" s="5">
        <f t="shared" si="29"/>
        <v>0.29591836734693877</v>
      </c>
    </row>
    <row r="344" spans="1:7" ht="15.75" customHeight="1">
      <c r="A344" s="3">
        <v>21893</v>
      </c>
      <c r="B344" s="4">
        <v>43</v>
      </c>
      <c r="C344" s="23">
        <f t="shared" si="25"/>
        <v>42.5</v>
      </c>
      <c r="D344" s="13">
        <f t="shared" si="26"/>
        <v>0.5</v>
      </c>
      <c r="E344" s="13">
        <f t="shared" si="27"/>
        <v>0.5</v>
      </c>
      <c r="F344" s="13">
        <f t="shared" si="28"/>
        <v>0.25</v>
      </c>
      <c r="G344" s="5">
        <f t="shared" si="29"/>
        <v>1.1627906976744186E-2</v>
      </c>
    </row>
    <row r="345" spans="1:7" ht="15.75" customHeight="1">
      <c r="A345" s="3">
        <v>21894</v>
      </c>
      <c r="B345" s="4">
        <v>43</v>
      </c>
      <c r="C345" s="23">
        <f t="shared" si="25"/>
        <v>46</v>
      </c>
      <c r="D345" s="13">
        <f t="shared" si="26"/>
        <v>-3</v>
      </c>
      <c r="E345" s="13">
        <f t="shared" si="27"/>
        <v>3</v>
      </c>
      <c r="F345" s="13">
        <f t="shared" si="28"/>
        <v>9</v>
      </c>
      <c r="G345" s="5">
        <f t="shared" si="29"/>
        <v>6.9767441860465115E-2</v>
      </c>
    </row>
    <row r="346" spans="1:7" ht="15.75" customHeight="1">
      <c r="A346" s="3">
        <v>21895</v>
      </c>
      <c r="B346" s="4">
        <v>34</v>
      </c>
      <c r="C346" s="23">
        <f t="shared" si="25"/>
        <v>43</v>
      </c>
      <c r="D346" s="13">
        <f t="shared" si="26"/>
        <v>-9</v>
      </c>
      <c r="E346" s="13">
        <f t="shared" si="27"/>
        <v>9</v>
      </c>
      <c r="F346" s="13">
        <f t="shared" si="28"/>
        <v>81</v>
      </c>
      <c r="G346" s="5">
        <f t="shared" si="29"/>
        <v>0.26470588235294118</v>
      </c>
    </row>
    <row r="347" spans="1:7" ht="15.75" customHeight="1">
      <c r="A347" s="3">
        <v>21896</v>
      </c>
      <c r="B347" s="4">
        <v>39</v>
      </c>
      <c r="C347" s="23">
        <f t="shared" si="25"/>
        <v>38.5</v>
      </c>
      <c r="D347" s="13">
        <f t="shared" si="26"/>
        <v>0.5</v>
      </c>
      <c r="E347" s="13">
        <f t="shared" si="27"/>
        <v>0.5</v>
      </c>
      <c r="F347" s="13">
        <f t="shared" si="28"/>
        <v>0.25</v>
      </c>
      <c r="G347" s="5">
        <f t="shared" si="29"/>
        <v>1.282051282051282E-2</v>
      </c>
    </row>
    <row r="348" spans="1:7" ht="15.75" customHeight="1">
      <c r="A348" s="3">
        <v>21897</v>
      </c>
      <c r="B348" s="4">
        <v>35</v>
      </c>
      <c r="C348" s="23">
        <f t="shared" si="25"/>
        <v>36.5</v>
      </c>
      <c r="D348" s="13">
        <f t="shared" si="26"/>
        <v>-1.5</v>
      </c>
      <c r="E348" s="13">
        <f t="shared" si="27"/>
        <v>1.5</v>
      </c>
      <c r="F348" s="13">
        <f t="shared" si="28"/>
        <v>2.25</v>
      </c>
      <c r="G348" s="5">
        <f t="shared" si="29"/>
        <v>4.2857142857142858E-2</v>
      </c>
    </row>
    <row r="349" spans="1:7" ht="15.75" customHeight="1">
      <c r="A349" s="3">
        <v>21898</v>
      </c>
      <c r="B349" s="4">
        <v>52</v>
      </c>
      <c r="C349" s="23">
        <f t="shared" si="25"/>
        <v>37</v>
      </c>
      <c r="D349" s="13">
        <f t="shared" si="26"/>
        <v>15</v>
      </c>
      <c r="E349" s="13">
        <f t="shared" si="27"/>
        <v>15</v>
      </c>
      <c r="F349" s="13">
        <f t="shared" si="28"/>
        <v>225</v>
      </c>
      <c r="G349" s="5">
        <f t="shared" si="29"/>
        <v>0.28846153846153844</v>
      </c>
    </row>
    <row r="350" spans="1:7" ht="15.75" customHeight="1">
      <c r="A350" s="3">
        <v>21899</v>
      </c>
      <c r="B350" s="4">
        <v>47</v>
      </c>
      <c r="C350" s="23">
        <f t="shared" si="25"/>
        <v>43.5</v>
      </c>
      <c r="D350" s="13">
        <f t="shared" si="26"/>
        <v>3.5</v>
      </c>
      <c r="E350" s="13">
        <f t="shared" si="27"/>
        <v>3.5</v>
      </c>
      <c r="F350" s="13">
        <f t="shared" si="28"/>
        <v>12.25</v>
      </c>
      <c r="G350" s="5">
        <f t="shared" si="29"/>
        <v>7.4468085106382975E-2</v>
      </c>
    </row>
    <row r="351" spans="1:7" ht="15.75" customHeight="1">
      <c r="A351" s="3">
        <v>21900</v>
      </c>
      <c r="B351" s="4">
        <v>52</v>
      </c>
      <c r="C351" s="23">
        <f t="shared" si="25"/>
        <v>49.5</v>
      </c>
      <c r="D351" s="13">
        <f t="shared" si="26"/>
        <v>2.5</v>
      </c>
      <c r="E351" s="13">
        <f t="shared" si="27"/>
        <v>2.5</v>
      </c>
      <c r="F351" s="13">
        <f t="shared" si="28"/>
        <v>6.25</v>
      </c>
      <c r="G351" s="5">
        <f t="shared" si="29"/>
        <v>4.807692307692308E-2</v>
      </c>
    </row>
    <row r="352" spans="1:7" ht="15.75" customHeight="1">
      <c r="A352" s="3">
        <v>21901</v>
      </c>
      <c r="B352" s="4">
        <v>39</v>
      </c>
      <c r="C352" s="23">
        <f t="shared" si="25"/>
        <v>49.5</v>
      </c>
      <c r="D352" s="13">
        <f t="shared" si="26"/>
        <v>-10.5</v>
      </c>
      <c r="E352" s="13">
        <f t="shared" si="27"/>
        <v>10.5</v>
      </c>
      <c r="F352" s="13">
        <f t="shared" si="28"/>
        <v>110.25</v>
      </c>
      <c r="G352" s="5">
        <f t="shared" si="29"/>
        <v>0.26923076923076922</v>
      </c>
    </row>
    <row r="353" spans="1:7" ht="15.75" customHeight="1">
      <c r="A353" s="3">
        <v>21902</v>
      </c>
      <c r="B353" s="4">
        <v>40</v>
      </c>
      <c r="C353" s="23">
        <f t="shared" si="25"/>
        <v>45.5</v>
      </c>
      <c r="D353" s="13">
        <f t="shared" si="26"/>
        <v>-5.5</v>
      </c>
      <c r="E353" s="13">
        <f t="shared" si="27"/>
        <v>5.5</v>
      </c>
      <c r="F353" s="13">
        <f t="shared" si="28"/>
        <v>30.25</v>
      </c>
      <c r="G353" s="5">
        <f t="shared" si="29"/>
        <v>0.13750000000000001</v>
      </c>
    </row>
    <row r="354" spans="1:7" ht="15.75" customHeight="1">
      <c r="A354" s="3">
        <v>21903</v>
      </c>
      <c r="B354" s="4">
        <v>42</v>
      </c>
      <c r="C354" s="23">
        <f t="shared" si="25"/>
        <v>39.5</v>
      </c>
      <c r="D354" s="13">
        <f t="shared" si="26"/>
        <v>2.5</v>
      </c>
      <c r="E354" s="13">
        <f t="shared" si="27"/>
        <v>2.5</v>
      </c>
      <c r="F354" s="13">
        <f t="shared" si="28"/>
        <v>6.25</v>
      </c>
      <c r="G354" s="5">
        <f t="shared" si="29"/>
        <v>5.9523809523809521E-2</v>
      </c>
    </row>
    <row r="355" spans="1:7" ht="15.75" customHeight="1">
      <c r="A355" s="3">
        <v>21904</v>
      </c>
      <c r="B355" s="4">
        <v>42</v>
      </c>
      <c r="C355" s="23">
        <f t="shared" si="25"/>
        <v>41</v>
      </c>
      <c r="D355" s="13">
        <f t="shared" si="26"/>
        <v>1</v>
      </c>
      <c r="E355" s="13">
        <f t="shared" si="27"/>
        <v>1</v>
      </c>
      <c r="F355" s="13">
        <f t="shared" si="28"/>
        <v>1</v>
      </c>
      <c r="G355" s="5">
        <f t="shared" si="29"/>
        <v>2.3809523809523808E-2</v>
      </c>
    </row>
    <row r="356" spans="1:7" ht="15.75" customHeight="1">
      <c r="A356" s="3">
        <v>21905</v>
      </c>
      <c r="B356" s="4">
        <v>53</v>
      </c>
      <c r="C356" s="23">
        <f t="shared" si="25"/>
        <v>42</v>
      </c>
      <c r="D356" s="13">
        <f t="shared" si="26"/>
        <v>11</v>
      </c>
      <c r="E356" s="13">
        <f t="shared" si="27"/>
        <v>11</v>
      </c>
      <c r="F356" s="13">
        <f t="shared" si="28"/>
        <v>121</v>
      </c>
      <c r="G356" s="5">
        <f t="shared" si="29"/>
        <v>0.20754716981132076</v>
      </c>
    </row>
    <row r="357" spans="1:7" ht="15.75" customHeight="1">
      <c r="A357" s="3">
        <v>21906</v>
      </c>
      <c r="B357" s="4">
        <v>39</v>
      </c>
      <c r="C357" s="23">
        <f t="shared" si="25"/>
        <v>47.5</v>
      </c>
      <c r="D357" s="13">
        <f t="shared" si="26"/>
        <v>-8.5</v>
      </c>
      <c r="E357" s="13">
        <f t="shared" si="27"/>
        <v>8.5</v>
      </c>
      <c r="F357" s="13">
        <f t="shared" si="28"/>
        <v>72.25</v>
      </c>
      <c r="G357" s="5">
        <f t="shared" si="29"/>
        <v>0.21794871794871795</v>
      </c>
    </row>
    <row r="358" spans="1:7" ht="15.75" customHeight="1">
      <c r="A358" s="3">
        <v>21907</v>
      </c>
      <c r="B358" s="4">
        <v>40</v>
      </c>
      <c r="C358" s="23">
        <f t="shared" si="25"/>
        <v>46</v>
      </c>
      <c r="D358" s="13">
        <f t="shared" si="26"/>
        <v>-6</v>
      </c>
      <c r="E358" s="13">
        <f t="shared" si="27"/>
        <v>6</v>
      </c>
      <c r="F358" s="13">
        <f t="shared" si="28"/>
        <v>36</v>
      </c>
      <c r="G358" s="5">
        <f t="shared" si="29"/>
        <v>0.15</v>
      </c>
    </row>
    <row r="359" spans="1:7" ht="15.75" customHeight="1">
      <c r="A359" s="3">
        <v>21908</v>
      </c>
      <c r="B359" s="4">
        <v>38</v>
      </c>
      <c r="C359" s="23">
        <f t="shared" si="25"/>
        <v>39.5</v>
      </c>
      <c r="D359" s="13">
        <f t="shared" si="26"/>
        <v>-1.5</v>
      </c>
      <c r="E359" s="13">
        <f t="shared" si="27"/>
        <v>1.5</v>
      </c>
      <c r="F359" s="13">
        <f t="shared" si="28"/>
        <v>2.25</v>
      </c>
      <c r="G359" s="5">
        <f t="shared" si="29"/>
        <v>3.9473684210526314E-2</v>
      </c>
    </row>
    <row r="360" spans="1:7" ht="15.75" customHeight="1">
      <c r="A360" s="3">
        <v>21909</v>
      </c>
      <c r="B360" s="4">
        <v>44</v>
      </c>
      <c r="C360" s="23">
        <f t="shared" si="25"/>
        <v>39</v>
      </c>
      <c r="D360" s="13">
        <f t="shared" si="26"/>
        <v>5</v>
      </c>
      <c r="E360" s="13">
        <f t="shared" si="27"/>
        <v>5</v>
      </c>
      <c r="F360" s="13">
        <f t="shared" si="28"/>
        <v>25</v>
      </c>
      <c r="G360" s="5">
        <f t="shared" si="29"/>
        <v>0.11363636363636363</v>
      </c>
    </row>
    <row r="361" spans="1:7" ht="15.75" customHeight="1">
      <c r="A361" s="3">
        <v>21910</v>
      </c>
      <c r="B361" s="4">
        <v>34</v>
      </c>
      <c r="C361" s="23">
        <f t="shared" si="25"/>
        <v>41</v>
      </c>
      <c r="D361" s="13">
        <f t="shared" si="26"/>
        <v>-7</v>
      </c>
      <c r="E361" s="13">
        <f t="shared" si="27"/>
        <v>7</v>
      </c>
      <c r="F361" s="13">
        <f t="shared" si="28"/>
        <v>49</v>
      </c>
      <c r="G361" s="5">
        <f t="shared" si="29"/>
        <v>0.20588235294117646</v>
      </c>
    </row>
    <row r="362" spans="1:7" ht="15.75" customHeight="1">
      <c r="A362" s="3">
        <v>21911</v>
      </c>
      <c r="B362" s="4">
        <v>37</v>
      </c>
      <c r="C362" s="23">
        <f t="shared" si="25"/>
        <v>39</v>
      </c>
      <c r="D362" s="13">
        <f t="shared" si="26"/>
        <v>-2</v>
      </c>
      <c r="E362" s="13">
        <f t="shared" si="27"/>
        <v>2</v>
      </c>
      <c r="F362" s="13">
        <f t="shared" si="28"/>
        <v>4</v>
      </c>
      <c r="G362" s="5">
        <f t="shared" si="29"/>
        <v>5.4054054054054057E-2</v>
      </c>
    </row>
    <row r="363" spans="1:7" ht="15.75" customHeight="1">
      <c r="A363" s="3">
        <v>21912</v>
      </c>
      <c r="B363" s="4">
        <v>52</v>
      </c>
      <c r="C363" s="23">
        <f t="shared" si="25"/>
        <v>35.5</v>
      </c>
      <c r="D363" s="13">
        <f t="shared" si="26"/>
        <v>16.5</v>
      </c>
      <c r="E363" s="13">
        <f t="shared" si="27"/>
        <v>16.5</v>
      </c>
      <c r="F363" s="13">
        <f t="shared" si="28"/>
        <v>272.25</v>
      </c>
      <c r="G363" s="5">
        <f t="shared" si="29"/>
        <v>0.31730769230769229</v>
      </c>
    </row>
    <row r="364" spans="1:7" ht="15.75" customHeight="1">
      <c r="A364" s="3">
        <v>21913</v>
      </c>
      <c r="B364" s="4">
        <v>48</v>
      </c>
      <c r="C364" s="23">
        <f t="shared" si="25"/>
        <v>44.5</v>
      </c>
      <c r="D364" s="13">
        <f t="shared" si="26"/>
        <v>3.5</v>
      </c>
      <c r="E364" s="13">
        <f t="shared" si="27"/>
        <v>3.5</v>
      </c>
      <c r="F364" s="13">
        <f t="shared" si="28"/>
        <v>12.25</v>
      </c>
      <c r="G364" s="5">
        <f t="shared" si="29"/>
        <v>7.2916666666666671E-2</v>
      </c>
    </row>
    <row r="365" spans="1:7" ht="15.75" customHeight="1">
      <c r="A365" s="3">
        <v>21914</v>
      </c>
      <c r="B365" s="4">
        <v>55</v>
      </c>
      <c r="C365" s="23">
        <f t="shared" si="25"/>
        <v>50</v>
      </c>
      <c r="D365" s="13">
        <f t="shared" si="26"/>
        <v>5</v>
      </c>
      <c r="E365" s="13">
        <f t="shared" si="27"/>
        <v>5</v>
      </c>
      <c r="F365" s="13">
        <f t="shared" si="28"/>
        <v>25</v>
      </c>
      <c r="G365" s="5">
        <f t="shared" si="29"/>
        <v>9.0909090909090912E-2</v>
      </c>
    </row>
    <row r="366" spans="1:7" ht="15.75" customHeight="1">
      <c r="A366" s="3">
        <v>21915</v>
      </c>
      <c r="B366" s="4">
        <v>50</v>
      </c>
      <c r="C366" s="23">
        <f t="shared" si="25"/>
        <v>51.5</v>
      </c>
      <c r="D366" s="13">
        <f t="shared" si="26"/>
        <v>-1.5</v>
      </c>
      <c r="E366" s="13">
        <f t="shared" si="27"/>
        <v>1.5</v>
      </c>
      <c r="F366" s="13">
        <f t="shared" si="28"/>
        <v>2.25</v>
      </c>
      <c r="G366" s="5">
        <f t="shared" si="29"/>
        <v>0.03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B1" zoomScaleNormal="100" workbookViewId="0">
      <selection activeCell="J11" sqref="J11"/>
    </sheetView>
  </sheetViews>
  <sheetFormatPr defaultColWidth="11.25" defaultRowHeight="15" customHeight="1"/>
  <cols>
    <col min="1" max="1" width="11" customWidth="1"/>
    <col min="2" max="2" width="11.625" customWidth="1"/>
    <col min="3" max="3" width="28.625" customWidth="1"/>
    <col min="4" max="5" width="12.875" customWidth="1"/>
    <col min="6" max="6" width="20.125" customWidth="1"/>
    <col min="7" max="7" width="22.875" customWidth="1"/>
    <col min="8" max="10" width="11" customWidth="1"/>
    <col min="11" max="11" width="13.62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/>
      <c r="E2" s="4"/>
      <c r="F2" s="4"/>
      <c r="G2" s="5"/>
    </row>
    <row r="3" spans="1:11" ht="15.75" customHeight="1">
      <c r="A3" s="3">
        <v>21552</v>
      </c>
      <c r="B3" s="4">
        <v>32</v>
      </c>
      <c r="C3">
        <f>B2</f>
        <v>35</v>
      </c>
      <c r="D3" s="13">
        <f>B3-C3</f>
        <v>-3</v>
      </c>
      <c r="E3" s="13">
        <f>ABS(D3)</f>
        <v>3</v>
      </c>
      <c r="F3" s="13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>0.7*B3+0.3*C3</f>
        <v>32.9</v>
      </c>
      <c r="D4" s="13">
        <f t="shared" ref="D4:D67" si="0">B4-C4</f>
        <v>-2.8999999999999986</v>
      </c>
      <c r="E4" s="13">
        <f t="shared" ref="E4:E67" si="1">ABS(D4)</f>
        <v>2.8999999999999986</v>
      </c>
      <c r="F4" s="13">
        <f t="shared" ref="F4:F67" si="2">E4^2</f>
        <v>8.4099999999999913</v>
      </c>
      <c r="G4" s="5">
        <f t="shared" ref="G4:G67" si="3">E4/B4</f>
        <v>9.6666666666666623E-2</v>
      </c>
    </row>
    <row r="5" spans="1:11" ht="15.75" customHeight="1">
      <c r="A5" s="3">
        <v>21554</v>
      </c>
      <c r="B5" s="4">
        <v>31</v>
      </c>
      <c r="C5">
        <f t="shared" ref="C5:C67" si="4">0.7*B4+0.3*C4</f>
        <v>30.869999999999997</v>
      </c>
      <c r="D5" s="13">
        <f t="shared" si="0"/>
        <v>0.13000000000000256</v>
      </c>
      <c r="E5" s="13">
        <f t="shared" si="1"/>
        <v>0.13000000000000256</v>
      </c>
      <c r="F5" s="13">
        <f t="shared" si="2"/>
        <v>1.6900000000000664E-2</v>
      </c>
      <c r="G5" s="5">
        <f t="shared" si="3"/>
        <v>4.1935483870968564E-3</v>
      </c>
    </row>
    <row r="6" spans="1:11" ht="15.75" customHeight="1">
      <c r="A6" s="3">
        <v>21555</v>
      </c>
      <c r="B6" s="4">
        <v>44</v>
      </c>
      <c r="C6">
        <f t="shared" si="4"/>
        <v>30.960999999999999</v>
      </c>
      <c r="D6" s="13">
        <f t="shared" si="0"/>
        <v>13.039000000000001</v>
      </c>
      <c r="E6" s="13">
        <f t="shared" si="1"/>
        <v>13.039000000000001</v>
      </c>
      <c r="F6" s="13">
        <f t="shared" si="2"/>
        <v>170.01552100000004</v>
      </c>
      <c r="G6" s="5">
        <f t="shared" si="3"/>
        <v>0.2963409090909091</v>
      </c>
    </row>
    <row r="7" spans="1:11" ht="15.75" customHeight="1">
      <c r="A7" s="3">
        <v>21556</v>
      </c>
      <c r="B7" s="4">
        <v>29</v>
      </c>
      <c r="C7">
        <f t="shared" si="4"/>
        <v>40.088299999999997</v>
      </c>
      <c r="D7" s="13">
        <f t="shared" si="0"/>
        <v>-11.088299999999997</v>
      </c>
      <c r="E7" s="13">
        <f t="shared" si="1"/>
        <v>11.088299999999997</v>
      </c>
      <c r="F7" s="13">
        <f t="shared" si="2"/>
        <v>122.95039688999992</v>
      </c>
      <c r="G7" s="5">
        <f t="shared" si="3"/>
        <v>0.38235517241379297</v>
      </c>
    </row>
    <row r="8" spans="1:11" ht="15.75" customHeight="1">
      <c r="A8" s="3">
        <v>21557</v>
      </c>
      <c r="B8" s="4">
        <v>45</v>
      </c>
      <c r="C8">
        <f t="shared" si="4"/>
        <v>32.326489999999993</v>
      </c>
      <c r="D8" s="13">
        <f t="shared" si="0"/>
        <v>12.673510000000007</v>
      </c>
      <c r="E8" s="13">
        <f t="shared" si="1"/>
        <v>12.673510000000007</v>
      </c>
      <c r="F8" s="13">
        <f t="shared" si="2"/>
        <v>160.61785572010018</v>
      </c>
      <c r="G8" s="5">
        <f t="shared" si="3"/>
        <v>0.28163355555555569</v>
      </c>
      <c r="J8" s="2" t="s">
        <v>7</v>
      </c>
      <c r="K8" s="8">
        <f>AVERAGE(E3:E366)</f>
        <v>6.4889480262429782</v>
      </c>
    </row>
    <row r="9" spans="1:11" ht="15.75" customHeight="1">
      <c r="A9" s="3">
        <v>21558</v>
      </c>
      <c r="B9" s="4">
        <v>43</v>
      </c>
      <c r="C9">
        <f t="shared" si="4"/>
        <v>41.197946999999992</v>
      </c>
      <c r="D9" s="13">
        <f t="shared" si="0"/>
        <v>1.8020530000000079</v>
      </c>
      <c r="E9" s="13">
        <f t="shared" si="1"/>
        <v>1.8020530000000079</v>
      </c>
      <c r="F9" s="13">
        <f t="shared" si="2"/>
        <v>3.2473950148090283</v>
      </c>
      <c r="G9" s="5">
        <f t="shared" si="3"/>
        <v>4.1908209302325763E-2</v>
      </c>
      <c r="J9" s="2" t="s">
        <v>8</v>
      </c>
      <c r="K9" s="25">
        <f>F3:F366</f>
        <v>3.2473950148090283</v>
      </c>
    </row>
    <row r="10" spans="1:11" ht="15.75" customHeight="1">
      <c r="A10" s="3">
        <v>21559</v>
      </c>
      <c r="B10" s="4">
        <v>38</v>
      </c>
      <c r="C10">
        <f t="shared" si="4"/>
        <v>42.459384099999994</v>
      </c>
      <c r="D10" s="13">
        <f t="shared" si="0"/>
        <v>-4.4593840999999941</v>
      </c>
      <c r="E10" s="13">
        <f t="shared" si="1"/>
        <v>4.4593840999999941</v>
      </c>
      <c r="F10" s="13">
        <f t="shared" si="2"/>
        <v>19.886106551332759</v>
      </c>
      <c r="G10" s="5">
        <f t="shared" si="3"/>
        <v>0.11735221315789458</v>
      </c>
      <c r="J10" s="9" t="s">
        <v>9</v>
      </c>
      <c r="K10" s="26">
        <f>AVERAGE(G3:G366)</f>
        <v>0.15720860261612712</v>
      </c>
    </row>
    <row r="11" spans="1:11" ht="15.75" customHeight="1">
      <c r="A11" s="3">
        <v>21560</v>
      </c>
      <c r="B11" s="4">
        <v>27</v>
      </c>
      <c r="C11">
        <f t="shared" si="4"/>
        <v>39.337815229999997</v>
      </c>
      <c r="D11" s="13">
        <f t="shared" si="0"/>
        <v>-12.337815229999997</v>
      </c>
      <c r="E11" s="13">
        <f t="shared" si="1"/>
        <v>12.337815229999997</v>
      </c>
      <c r="F11" s="13">
        <f t="shared" si="2"/>
        <v>152.22168464961987</v>
      </c>
      <c r="G11" s="5">
        <f t="shared" si="3"/>
        <v>0.45695611962962951</v>
      </c>
      <c r="J11" s="2" t="s">
        <v>10</v>
      </c>
      <c r="K11" s="21">
        <f>100%-K10</f>
        <v>0.84279139738387288</v>
      </c>
    </row>
    <row r="12" spans="1:11" ht="15.75" customHeight="1">
      <c r="A12" s="3">
        <v>21561</v>
      </c>
      <c r="B12" s="4">
        <v>38</v>
      </c>
      <c r="C12">
        <f t="shared" si="4"/>
        <v>30.701344569</v>
      </c>
      <c r="D12" s="13">
        <f t="shared" si="0"/>
        <v>7.2986554310000002</v>
      </c>
      <c r="E12" s="13">
        <f t="shared" si="1"/>
        <v>7.2986554310000002</v>
      </c>
      <c r="F12" s="13">
        <f t="shared" si="2"/>
        <v>53.270371100465802</v>
      </c>
      <c r="G12" s="5">
        <f t="shared" si="3"/>
        <v>0.1920698797631579</v>
      </c>
    </row>
    <row r="13" spans="1:11" ht="15.75" customHeight="1">
      <c r="A13" s="3">
        <v>21562</v>
      </c>
      <c r="B13" s="4">
        <v>33</v>
      </c>
      <c r="C13">
        <f t="shared" si="4"/>
        <v>35.810403370700001</v>
      </c>
      <c r="D13" s="13">
        <f t="shared" si="0"/>
        <v>-2.8104033707000013</v>
      </c>
      <c r="E13" s="13">
        <f t="shared" si="1"/>
        <v>2.8104033707000013</v>
      </c>
      <c r="F13" s="13">
        <f t="shared" si="2"/>
        <v>7.8983671060419294</v>
      </c>
      <c r="G13" s="5">
        <f t="shared" si="3"/>
        <v>8.5163738506060641E-2</v>
      </c>
    </row>
    <row r="14" spans="1:11" ht="15.75" customHeight="1">
      <c r="A14" s="3">
        <v>21563</v>
      </c>
      <c r="B14" s="4">
        <v>55</v>
      </c>
      <c r="C14">
        <f t="shared" si="4"/>
        <v>33.843121011210002</v>
      </c>
      <c r="D14" s="13">
        <f t="shared" si="0"/>
        <v>21.156878988789998</v>
      </c>
      <c r="E14" s="13">
        <f t="shared" si="1"/>
        <v>21.156878988789998</v>
      </c>
      <c r="F14" s="13">
        <f t="shared" si="2"/>
        <v>447.61352854630371</v>
      </c>
      <c r="G14" s="5">
        <f t="shared" si="3"/>
        <v>0.38467052706890908</v>
      </c>
    </row>
    <row r="15" spans="1:11" ht="15.75" customHeight="1">
      <c r="A15" s="3">
        <v>21564</v>
      </c>
      <c r="B15" s="4">
        <v>47</v>
      </c>
      <c r="C15">
        <f t="shared" si="4"/>
        <v>48.652936303362999</v>
      </c>
      <c r="D15" s="13">
        <f t="shared" si="0"/>
        <v>-1.6529363033629991</v>
      </c>
      <c r="E15" s="13">
        <f t="shared" si="1"/>
        <v>1.6529363033629991</v>
      </c>
      <c r="F15" s="13">
        <f t="shared" si="2"/>
        <v>2.7321984229753369</v>
      </c>
      <c r="G15" s="5">
        <f t="shared" si="3"/>
        <v>3.5168857518361685E-2</v>
      </c>
    </row>
    <row r="16" spans="1:11" ht="15.75" customHeight="1">
      <c r="A16" s="3">
        <v>21565</v>
      </c>
      <c r="B16" s="4">
        <v>45</v>
      </c>
      <c r="C16">
        <f t="shared" si="4"/>
        <v>47.495880891008895</v>
      </c>
      <c r="D16" s="13">
        <f t="shared" si="0"/>
        <v>-2.4958808910088948</v>
      </c>
      <c r="E16" s="13">
        <f t="shared" si="1"/>
        <v>2.4958808910088948</v>
      </c>
      <c r="F16" s="13">
        <f t="shared" si="2"/>
        <v>6.2294214221033544</v>
      </c>
      <c r="G16" s="5">
        <f t="shared" si="3"/>
        <v>5.5464019800197661E-2</v>
      </c>
    </row>
    <row r="17" spans="1:7" ht="15.75" customHeight="1">
      <c r="A17" s="3">
        <v>21566</v>
      </c>
      <c r="B17" s="4">
        <v>37</v>
      </c>
      <c r="C17">
        <f t="shared" si="4"/>
        <v>45.748764267302661</v>
      </c>
      <c r="D17" s="13">
        <f t="shared" si="0"/>
        <v>-8.7487642673026613</v>
      </c>
      <c r="E17" s="13">
        <f t="shared" si="1"/>
        <v>8.7487642673026613</v>
      </c>
      <c r="F17" s="13">
        <f t="shared" si="2"/>
        <v>76.540876204831875</v>
      </c>
      <c r="G17" s="5">
        <f t="shared" si="3"/>
        <v>0.23645308830547734</v>
      </c>
    </row>
    <row r="18" spans="1:7" ht="15.75" customHeight="1">
      <c r="A18" s="3">
        <v>21567</v>
      </c>
      <c r="B18" s="4">
        <v>50</v>
      </c>
      <c r="C18">
        <f t="shared" si="4"/>
        <v>39.624629280190796</v>
      </c>
      <c r="D18" s="13">
        <f t="shared" si="0"/>
        <v>10.375370719809204</v>
      </c>
      <c r="E18" s="13">
        <f t="shared" si="1"/>
        <v>10.375370719809204</v>
      </c>
      <c r="F18" s="13">
        <f t="shared" si="2"/>
        <v>107.64831757347417</v>
      </c>
      <c r="G18" s="5">
        <f t="shared" si="3"/>
        <v>0.20750741439618409</v>
      </c>
    </row>
    <row r="19" spans="1:7" ht="15.75" customHeight="1">
      <c r="A19" s="3">
        <v>21568</v>
      </c>
      <c r="B19" s="4">
        <v>43</v>
      </c>
      <c r="C19">
        <f t="shared" si="4"/>
        <v>46.887388784057237</v>
      </c>
      <c r="D19" s="13">
        <f t="shared" si="0"/>
        <v>-3.8873887840572365</v>
      </c>
      <c r="E19" s="13">
        <f t="shared" si="1"/>
        <v>3.8873887840572365</v>
      </c>
      <c r="F19" s="13">
        <f t="shared" si="2"/>
        <v>15.111791558414</v>
      </c>
      <c r="G19" s="5">
        <f t="shared" si="3"/>
        <v>9.0404390326912484E-2</v>
      </c>
    </row>
    <row r="20" spans="1:7" ht="15.75" customHeight="1">
      <c r="A20" s="3">
        <v>21569</v>
      </c>
      <c r="B20" s="4">
        <v>41</v>
      </c>
      <c r="C20">
        <f t="shared" si="4"/>
        <v>44.166216635217168</v>
      </c>
      <c r="D20" s="13">
        <f t="shared" si="0"/>
        <v>-3.1662166352171681</v>
      </c>
      <c r="E20" s="13">
        <f t="shared" si="1"/>
        <v>3.1662166352171681</v>
      </c>
      <c r="F20" s="13">
        <f t="shared" si="2"/>
        <v>10.024927781125927</v>
      </c>
      <c r="G20" s="5">
        <f t="shared" si="3"/>
        <v>7.7224795980906535E-2</v>
      </c>
    </row>
    <row r="21" spans="1:7" ht="15.75" customHeight="1">
      <c r="A21" s="3">
        <v>21570</v>
      </c>
      <c r="B21" s="4">
        <v>52</v>
      </c>
      <c r="C21">
        <f t="shared" si="4"/>
        <v>41.949864990565146</v>
      </c>
      <c r="D21" s="13">
        <f t="shared" si="0"/>
        <v>10.050135009434854</v>
      </c>
      <c r="E21" s="13">
        <f t="shared" si="1"/>
        <v>10.050135009434854</v>
      </c>
      <c r="F21" s="13">
        <f t="shared" si="2"/>
        <v>101.00521370786811</v>
      </c>
      <c r="G21" s="5">
        <f t="shared" si="3"/>
        <v>0.19327182710451643</v>
      </c>
    </row>
    <row r="22" spans="1:7" ht="15.75" customHeight="1">
      <c r="A22" s="3">
        <v>21571</v>
      </c>
      <c r="B22" s="4">
        <v>34</v>
      </c>
      <c r="C22">
        <f t="shared" si="4"/>
        <v>48.984959497169541</v>
      </c>
      <c r="D22" s="13">
        <f t="shared" si="0"/>
        <v>-14.984959497169541</v>
      </c>
      <c r="E22" s="13">
        <f t="shared" si="1"/>
        <v>14.984959497169541</v>
      </c>
      <c r="F22" s="13">
        <f t="shared" si="2"/>
        <v>224.54901113181162</v>
      </c>
      <c r="G22" s="5">
        <f t="shared" si="3"/>
        <v>0.44073410285792769</v>
      </c>
    </row>
    <row r="23" spans="1:7" ht="15.75" customHeight="1">
      <c r="A23" s="3">
        <v>21572</v>
      </c>
      <c r="B23" s="4">
        <v>53</v>
      </c>
      <c r="C23">
        <f t="shared" si="4"/>
        <v>38.495487849150862</v>
      </c>
      <c r="D23" s="13">
        <f t="shared" si="0"/>
        <v>14.504512150849138</v>
      </c>
      <c r="E23" s="13">
        <f t="shared" si="1"/>
        <v>14.504512150849138</v>
      </c>
      <c r="F23" s="13">
        <f t="shared" si="2"/>
        <v>210.38087273413029</v>
      </c>
      <c r="G23" s="5">
        <f t="shared" si="3"/>
        <v>0.27367004058205918</v>
      </c>
    </row>
    <row r="24" spans="1:7" ht="15.75" customHeight="1">
      <c r="A24" s="3">
        <v>21573</v>
      </c>
      <c r="B24" s="4">
        <v>39</v>
      </c>
      <c r="C24">
        <f t="shared" si="4"/>
        <v>48.648646354745253</v>
      </c>
      <c r="D24" s="13">
        <f t="shared" si="0"/>
        <v>-9.648646354745253</v>
      </c>
      <c r="E24" s="13">
        <f t="shared" si="1"/>
        <v>9.648646354745253</v>
      </c>
      <c r="F24" s="13">
        <f t="shared" si="2"/>
        <v>93.096376478938865</v>
      </c>
      <c r="G24" s="5">
        <f t="shared" si="3"/>
        <v>0.24740118858321161</v>
      </c>
    </row>
    <row r="25" spans="1:7" ht="15.75" customHeight="1">
      <c r="A25" s="3">
        <v>21574</v>
      </c>
      <c r="B25" s="4">
        <v>32</v>
      </c>
      <c r="C25">
        <f t="shared" si="4"/>
        <v>41.894593906423573</v>
      </c>
      <c r="D25" s="13">
        <f t="shared" si="0"/>
        <v>-9.8945939064235731</v>
      </c>
      <c r="E25" s="13">
        <f t="shared" si="1"/>
        <v>9.8945939064235731</v>
      </c>
      <c r="F25" s="13">
        <f t="shared" si="2"/>
        <v>97.902988573034506</v>
      </c>
      <c r="G25" s="5">
        <f t="shared" si="3"/>
        <v>0.30920605957573666</v>
      </c>
    </row>
    <row r="26" spans="1:7" ht="15.75" customHeight="1">
      <c r="A26" s="3">
        <v>21575</v>
      </c>
      <c r="B26" s="4">
        <v>37</v>
      </c>
      <c r="C26">
        <f t="shared" si="4"/>
        <v>34.968378171927071</v>
      </c>
      <c r="D26" s="13">
        <f t="shared" si="0"/>
        <v>2.0316218280729288</v>
      </c>
      <c r="E26" s="13">
        <f t="shared" si="1"/>
        <v>2.0316218280729288</v>
      </c>
      <c r="F26" s="13">
        <f t="shared" si="2"/>
        <v>4.1274872523023891</v>
      </c>
      <c r="G26" s="5">
        <f t="shared" si="3"/>
        <v>5.49086980560251E-2</v>
      </c>
    </row>
    <row r="27" spans="1:7" ht="15.75" customHeight="1">
      <c r="A27" s="3">
        <v>21576</v>
      </c>
      <c r="B27" s="4">
        <v>43</v>
      </c>
      <c r="C27">
        <f t="shared" si="4"/>
        <v>36.390513451578116</v>
      </c>
      <c r="D27" s="13">
        <f t="shared" si="0"/>
        <v>6.6094865484218843</v>
      </c>
      <c r="E27" s="13">
        <f t="shared" si="1"/>
        <v>6.6094865484218843</v>
      </c>
      <c r="F27" s="13">
        <f t="shared" si="2"/>
        <v>43.68531243376983</v>
      </c>
      <c r="G27" s="5">
        <f t="shared" si="3"/>
        <v>0.15370898949818335</v>
      </c>
    </row>
    <row r="28" spans="1:7" ht="15.75" customHeight="1">
      <c r="A28" s="3">
        <v>21577</v>
      </c>
      <c r="B28" s="4">
        <v>39</v>
      </c>
      <c r="C28">
        <f t="shared" si="4"/>
        <v>41.017154035473432</v>
      </c>
      <c r="D28" s="13">
        <f t="shared" si="0"/>
        <v>-2.0171540354734319</v>
      </c>
      <c r="E28" s="13">
        <f t="shared" si="1"/>
        <v>2.0171540354734319</v>
      </c>
      <c r="F28" s="13">
        <f t="shared" si="2"/>
        <v>4.0689104028267513</v>
      </c>
      <c r="G28" s="5">
        <f t="shared" si="3"/>
        <v>5.1721898345472611E-2</v>
      </c>
    </row>
    <row r="29" spans="1:7" ht="15.75" customHeight="1">
      <c r="A29" s="3">
        <v>21578</v>
      </c>
      <c r="B29" s="4">
        <v>35</v>
      </c>
      <c r="C29">
        <f t="shared" si="4"/>
        <v>39.605146210642026</v>
      </c>
      <c r="D29" s="13">
        <f t="shared" si="0"/>
        <v>-4.605146210642026</v>
      </c>
      <c r="E29" s="13">
        <f t="shared" si="1"/>
        <v>4.605146210642026</v>
      </c>
      <c r="F29" s="13">
        <f t="shared" si="2"/>
        <v>21.20737162139061</v>
      </c>
      <c r="G29" s="5">
        <f t="shared" si="3"/>
        <v>0.13157560601834359</v>
      </c>
    </row>
    <row r="30" spans="1:7" ht="15.75" customHeight="1">
      <c r="A30" s="3">
        <v>21579</v>
      </c>
      <c r="B30" s="4">
        <v>44</v>
      </c>
      <c r="C30">
        <f t="shared" si="4"/>
        <v>36.381543863192604</v>
      </c>
      <c r="D30" s="13">
        <f t="shared" si="0"/>
        <v>7.6184561368073958</v>
      </c>
      <c r="E30" s="13">
        <f t="shared" si="1"/>
        <v>7.6184561368073958</v>
      </c>
      <c r="F30" s="13">
        <f t="shared" si="2"/>
        <v>58.040873908458266</v>
      </c>
      <c r="G30" s="5">
        <f t="shared" si="3"/>
        <v>0.17314673038198627</v>
      </c>
    </row>
    <row r="31" spans="1:7" ht="15.75" customHeight="1">
      <c r="A31" s="3">
        <v>21580</v>
      </c>
      <c r="B31" s="4">
        <v>38</v>
      </c>
      <c r="C31">
        <f t="shared" si="4"/>
        <v>41.714463158957777</v>
      </c>
      <c r="D31" s="13">
        <f t="shared" si="0"/>
        <v>-3.714463158957777</v>
      </c>
      <c r="E31" s="13">
        <f t="shared" si="1"/>
        <v>3.714463158957777</v>
      </c>
      <c r="F31" s="13">
        <f t="shared" si="2"/>
        <v>13.797236559254587</v>
      </c>
      <c r="G31" s="5">
        <f t="shared" si="3"/>
        <v>9.7749030498888875E-2</v>
      </c>
    </row>
    <row r="32" spans="1:7" ht="15.75" customHeight="1">
      <c r="A32" s="3">
        <v>21581</v>
      </c>
      <c r="B32" s="4">
        <v>24</v>
      </c>
      <c r="C32">
        <f t="shared" si="4"/>
        <v>39.11433894768733</v>
      </c>
      <c r="D32" s="13">
        <f t="shared" si="0"/>
        <v>-15.11433894768733</v>
      </c>
      <c r="E32" s="13">
        <f t="shared" si="1"/>
        <v>15.11433894768733</v>
      </c>
      <c r="F32" s="13">
        <f t="shared" si="2"/>
        <v>228.44324182557813</v>
      </c>
      <c r="G32" s="5">
        <f t="shared" si="3"/>
        <v>0.62976412282030536</v>
      </c>
    </row>
    <row r="33" spans="1:7" ht="15.75" customHeight="1">
      <c r="A33" s="3">
        <v>21582</v>
      </c>
      <c r="B33" s="4">
        <v>23</v>
      </c>
      <c r="C33">
        <f t="shared" si="4"/>
        <v>28.534301684306193</v>
      </c>
      <c r="D33" s="13">
        <f t="shared" si="0"/>
        <v>-5.5343016843061932</v>
      </c>
      <c r="E33" s="13">
        <f t="shared" si="1"/>
        <v>5.5343016843061932</v>
      </c>
      <c r="F33" s="13">
        <f t="shared" si="2"/>
        <v>30.628495132914367</v>
      </c>
      <c r="G33" s="5">
        <f t="shared" si="3"/>
        <v>0.24062181236113883</v>
      </c>
    </row>
    <row r="34" spans="1:7" ht="15.75" customHeight="1">
      <c r="A34" s="3">
        <v>21583</v>
      </c>
      <c r="B34" s="4">
        <v>31</v>
      </c>
      <c r="C34">
        <f t="shared" si="4"/>
        <v>24.660290505291854</v>
      </c>
      <c r="D34" s="13">
        <f t="shared" si="0"/>
        <v>6.3397094947081456</v>
      </c>
      <c r="E34" s="13">
        <f t="shared" si="1"/>
        <v>6.3397094947081456</v>
      </c>
      <c r="F34" s="13">
        <f t="shared" si="2"/>
        <v>40.191916477292608</v>
      </c>
      <c r="G34" s="5">
        <f t="shared" si="3"/>
        <v>0.20450675789381115</v>
      </c>
    </row>
    <row r="35" spans="1:7" ht="15.75" customHeight="1">
      <c r="A35" s="3">
        <v>21584</v>
      </c>
      <c r="B35" s="4">
        <v>44</v>
      </c>
      <c r="C35">
        <f t="shared" si="4"/>
        <v>29.098087151587556</v>
      </c>
      <c r="D35" s="13">
        <f t="shared" si="0"/>
        <v>14.901912848412444</v>
      </c>
      <c r="E35" s="13">
        <f t="shared" si="1"/>
        <v>14.901912848412444</v>
      </c>
      <c r="F35" s="13">
        <f t="shared" si="2"/>
        <v>222.06700654167986</v>
      </c>
      <c r="G35" s="5">
        <f t="shared" si="3"/>
        <v>0.33867983746391916</v>
      </c>
    </row>
    <row r="36" spans="1:7" ht="15.75" customHeight="1">
      <c r="A36" s="3">
        <v>21585</v>
      </c>
      <c r="B36" s="4">
        <v>38</v>
      </c>
      <c r="C36">
        <f t="shared" si="4"/>
        <v>39.529426145476265</v>
      </c>
      <c r="D36" s="13">
        <f t="shared" si="0"/>
        <v>-1.5294261454762648</v>
      </c>
      <c r="E36" s="13">
        <f t="shared" si="1"/>
        <v>1.5294261454762648</v>
      </c>
      <c r="F36" s="13">
        <f t="shared" si="2"/>
        <v>2.3391443344663845</v>
      </c>
      <c r="G36" s="5">
        <f t="shared" si="3"/>
        <v>4.0248056459901704E-2</v>
      </c>
    </row>
    <row r="37" spans="1:7" ht="15.75" customHeight="1">
      <c r="A37" s="3">
        <v>21586</v>
      </c>
      <c r="B37" s="4">
        <v>50</v>
      </c>
      <c r="C37">
        <f t="shared" si="4"/>
        <v>38.458827843642879</v>
      </c>
      <c r="D37" s="13">
        <f t="shared" si="0"/>
        <v>11.541172156357121</v>
      </c>
      <c r="E37" s="13">
        <f t="shared" si="1"/>
        <v>11.541172156357121</v>
      </c>
      <c r="F37" s="13">
        <f t="shared" si="2"/>
        <v>133.19865474267286</v>
      </c>
      <c r="G37" s="5">
        <f t="shared" si="3"/>
        <v>0.23082344312714242</v>
      </c>
    </row>
    <row r="38" spans="1:7" ht="15.75" customHeight="1">
      <c r="A38" s="3">
        <v>21587</v>
      </c>
      <c r="B38" s="4">
        <v>38</v>
      </c>
      <c r="C38">
        <f t="shared" si="4"/>
        <v>46.537648353092862</v>
      </c>
      <c r="D38" s="13">
        <f t="shared" si="0"/>
        <v>-8.5376483530928624</v>
      </c>
      <c r="E38" s="13">
        <f t="shared" si="1"/>
        <v>8.5376483530928624</v>
      </c>
      <c r="F38" s="13">
        <f t="shared" si="2"/>
        <v>72.891439401069263</v>
      </c>
      <c r="G38" s="5">
        <f t="shared" si="3"/>
        <v>0.22467495666033849</v>
      </c>
    </row>
    <row r="39" spans="1:7" ht="15.75" customHeight="1">
      <c r="A39" s="3">
        <v>21588</v>
      </c>
      <c r="B39" s="4">
        <v>51</v>
      </c>
      <c r="C39">
        <f t="shared" si="4"/>
        <v>40.561294505927854</v>
      </c>
      <c r="D39" s="13">
        <f t="shared" si="0"/>
        <v>10.438705494072146</v>
      </c>
      <c r="E39" s="13">
        <f t="shared" si="1"/>
        <v>10.438705494072146</v>
      </c>
      <c r="F39" s="13">
        <f t="shared" si="2"/>
        <v>108.96657239197199</v>
      </c>
      <c r="G39" s="5">
        <f t="shared" si="3"/>
        <v>0.20468049988376755</v>
      </c>
    </row>
    <row r="40" spans="1:7" ht="15.75" customHeight="1">
      <c r="A40" s="3">
        <v>21589</v>
      </c>
      <c r="B40" s="4">
        <v>31</v>
      </c>
      <c r="C40">
        <f t="shared" si="4"/>
        <v>47.86838835177835</v>
      </c>
      <c r="D40" s="13">
        <f t="shared" si="0"/>
        <v>-16.86838835177835</v>
      </c>
      <c r="E40" s="13">
        <f t="shared" si="1"/>
        <v>16.86838835177835</v>
      </c>
      <c r="F40" s="13">
        <f t="shared" si="2"/>
        <v>284.5425255864115</v>
      </c>
      <c r="G40" s="5">
        <f t="shared" si="3"/>
        <v>0.54414155973478551</v>
      </c>
    </row>
    <row r="41" spans="1:7" ht="15.75" customHeight="1">
      <c r="A41" s="3">
        <v>21590</v>
      </c>
      <c r="B41" s="4">
        <v>31</v>
      </c>
      <c r="C41">
        <f t="shared" si="4"/>
        <v>36.060516505533506</v>
      </c>
      <c r="D41" s="13">
        <f t="shared" si="0"/>
        <v>-5.0605165055335064</v>
      </c>
      <c r="E41" s="13">
        <f t="shared" si="1"/>
        <v>5.0605165055335064</v>
      </c>
      <c r="F41" s="13">
        <f t="shared" si="2"/>
        <v>25.608827302777051</v>
      </c>
      <c r="G41" s="5">
        <f t="shared" si="3"/>
        <v>0.1632424679204357</v>
      </c>
    </row>
    <row r="42" spans="1:7" ht="15.75" customHeight="1">
      <c r="A42" s="3">
        <v>21591</v>
      </c>
      <c r="B42" s="4">
        <v>51</v>
      </c>
      <c r="C42">
        <f t="shared" si="4"/>
        <v>32.518154951660051</v>
      </c>
      <c r="D42" s="13">
        <f t="shared" si="0"/>
        <v>18.481845048339949</v>
      </c>
      <c r="E42" s="13">
        <f t="shared" si="1"/>
        <v>18.481845048339949</v>
      </c>
      <c r="F42" s="13">
        <f t="shared" si="2"/>
        <v>341.57859639084791</v>
      </c>
      <c r="G42" s="5">
        <f t="shared" si="3"/>
        <v>0.36238911859490097</v>
      </c>
    </row>
    <row r="43" spans="1:7" ht="15.75" customHeight="1">
      <c r="A43" s="3">
        <v>21592</v>
      </c>
      <c r="B43" s="4">
        <v>36</v>
      </c>
      <c r="C43">
        <f t="shared" si="4"/>
        <v>45.455446485498008</v>
      </c>
      <c r="D43" s="13">
        <f t="shared" si="0"/>
        <v>-9.4554464854980083</v>
      </c>
      <c r="E43" s="13">
        <f t="shared" si="1"/>
        <v>9.4554464854980083</v>
      </c>
      <c r="F43" s="13">
        <f t="shared" si="2"/>
        <v>89.405468240116633</v>
      </c>
      <c r="G43" s="5">
        <f t="shared" si="3"/>
        <v>0.26265129126383358</v>
      </c>
    </row>
    <row r="44" spans="1:7" ht="15.75" customHeight="1">
      <c r="A44" s="3">
        <v>21593</v>
      </c>
      <c r="B44" s="4">
        <v>45</v>
      </c>
      <c r="C44">
        <f t="shared" si="4"/>
        <v>38.836633945649403</v>
      </c>
      <c r="D44" s="13">
        <f t="shared" si="0"/>
        <v>6.1633660543505968</v>
      </c>
      <c r="E44" s="13">
        <f t="shared" si="1"/>
        <v>6.1633660543505968</v>
      </c>
      <c r="F44" s="13">
        <f t="shared" si="2"/>
        <v>37.987081119921243</v>
      </c>
      <c r="G44" s="5">
        <f t="shared" si="3"/>
        <v>0.13696369009667994</v>
      </c>
    </row>
    <row r="45" spans="1:7" ht="15.75" customHeight="1">
      <c r="A45" s="3">
        <v>21594</v>
      </c>
      <c r="B45" s="4">
        <v>51</v>
      </c>
      <c r="C45">
        <f t="shared" si="4"/>
        <v>43.150990183694816</v>
      </c>
      <c r="D45" s="13">
        <f t="shared" si="0"/>
        <v>7.849009816305184</v>
      </c>
      <c r="E45" s="13">
        <f t="shared" si="1"/>
        <v>7.849009816305184</v>
      </c>
      <c r="F45" s="13">
        <f t="shared" si="2"/>
        <v>61.606955096455138</v>
      </c>
      <c r="G45" s="5">
        <f t="shared" si="3"/>
        <v>0.15390215326088597</v>
      </c>
    </row>
    <row r="46" spans="1:7" ht="15.75" customHeight="1">
      <c r="A46" s="3">
        <v>21595</v>
      </c>
      <c r="B46" s="4">
        <v>34</v>
      </c>
      <c r="C46">
        <f t="shared" si="4"/>
        <v>48.645297055108443</v>
      </c>
      <c r="D46" s="13">
        <f t="shared" si="0"/>
        <v>-14.645297055108443</v>
      </c>
      <c r="E46" s="13">
        <f t="shared" si="1"/>
        <v>14.645297055108443</v>
      </c>
      <c r="F46" s="13">
        <f t="shared" si="2"/>
        <v>214.48472583236804</v>
      </c>
      <c r="G46" s="5">
        <f t="shared" si="3"/>
        <v>0.43074403103260128</v>
      </c>
    </row>
    <row r="47" spans="1:7" ht="15.75" customHeight="1">
      <c r="A47" s="3">
        <v>21596</v>
      </c>
      <c r="B47" s="4">
        <v>52</v>
      </c>
      <c r="C47">
        <f t="shared" si="4"/>
        <v>38.393589116532532</v>
      </c>
      <c r="D47" s="13">
        <f t="shared" si="0"/>
        <v>13.606410883467468</v>
      </c>
      <c r="E47" s="13">
        <f t="shared" si="1"/>
        <v>13.606410883467468</v>
      </c>
      <c r="F47" s="13">
        <f t="shared" si="2"/>
        <v>185.13441712974196</v>
      </c>
      <c r="G47" s="5">
        <f t="shared" si="3"/>
        <v>0.26166174775898976</v>
      </c>
    </row>
    <row r="48" spans="1:7" ht="15.75" customHeight="1">
      <c r="A48" s="3">
        <v>21597</v>
      </c>
      <c r="B48" s="4">
        <v>47</v>
      </c>
      <c r="C48">
        <f t="shared" si="4"/>
        <v>47.918076734959755</v>
      </c>
      <c r="D48" s="13">
        <f t="shared" si="0"/>
        <v>-0.9180767349597545</v>
      </c>
      <c r="E48" s="13">
        <f t="shared" si="1"/>
        <v>0.9180767349597545</v>
      </c>
      <c r="F48" s="13">
        <f t="shared" si="2"/>
        <v>0.84286489127436337</v>
      </c>
      <c r="G48" s="5">
        <f t="shared" si="3"/>
        <v>1.9533547552335204E-2</v>
      </c>
    </row>
    <row r="49" spans="1:7" ht="15.75" customHeight="1">
      <c r="A49" s="3">
        <v>21598</v>
      </c>
      <c r="B49" s="4">
        <v>45</v>
      </c>
      <c r="C49">
        <f t="shared" si="4"/>
        <v>47.275423020487921</v>
      </c>
      <c r="D49" s="13">
        <f t="shared" si="0"/>
        <v>-2.2754230204879207</v>
      </c>
      <c r="E49" s="13">
        <f t="shared" si="1"/>
        <v>2.2754230204879207</v>
      </c>
      <c r="F49" s="13">
        <f t="shared" si="2"/>
        <v>5.1775499221663726</v>
      </c>
      <c r="G49" s="5">
        <f t="shared" si="3"/>
        <v>5.0564956010842682E-2</v>
      </c>
    </row>
    <row r="50" spans="1:7" ht="15.75" customHeight="1">
      <c r="A50" s="3">
        <v>21599</v>
      </c>
      <c r="B50" s="4">
        <v>46</v>
      </c>
      <c r="C50">
        <f t="shared" si="4"/>
        <v>45.682626906146375</v>
      </c>
      <c r="D50" s="13">
        <f t="shared" si="0"/>
        <v>0.31737309385362522</v>
      </c>
      <c r="E50" s="13">
        <f t="shared" si="1"/>
        <v>0.31737309385362522</v>
      </c>
      <c r="F50" s="13">
        <f t="shared" si="2"/>
        <v>0.100725680702222</v>
      </c>
      <c r="G50" s="5">
        <f t="shared" si="3"/>
        <v>6.8994150837744612E-3</v>
      </c>
    </row>
    <row r="51" spans="1:7" ht="15.75" customHeight="1">
      <c r="A51" s="3">
        <v>21600</v>
      </c>
      <c r="B51" s="4">
        <v>39</v>
      </c>
      <c r="C51">
        <f t="shared" si="4"/>
        <v>45.90478807184391</v>
      </c>
      <c r="D51" s="13">
        <f t="shared" si="0"/>
        <v>-6.9047880718439103</v>
      </c>
      <c r="E51" s="13">
        <f t="shared" si="1"/>
        <v>6.9047880718439103</v>
      </c>
      <c r="F51" s="13">
        <f t="shared" si="2"/>
        <v>47.676098317077944</v>
      </c>
      <c r="G51" s="5">
        <f t="shared" si="3"/>
        <v>0.17704584799599771</v>
      </c>
    </row>
    <row r="52" spans="1:7" ht="15.75" customHeight="1">
      <c r="A52" s="3">
        <v>21601</v>
      </c>
      <c r="B52" s="4">
        <v>48</v>
      </c>
      <c r="C52">
        <f t="shared" si="4"/>
        <v>41.071436421553173</v>
      </c>
      <c r="D52" s="13">
        <f t="shared" si="0"/>
        <v>6.9285635784468269</v>
      </c>
      <c r="E52" s="13">
        <f t="shared" si="1"/>
        <v>6.9285635784468269</v>
      </c>
      <c r="F52" s="13">
        <f t="shared" si="2"/>
        <v>48.004993260579901</v>
      </c>
      <c r="G52" s="5">
        <f t="shared" si="3"/>
        <v>0.14434507455097556</v>
      </c>
    </row>
    <row r="53" spans="1:7" ht="15.75" customHeight="1">
      <c r="A53" s="3">
        <v>21602</v>
      </c>
      <c r="B53" s="4">
        <v>37</v>
      </c>
      <c r="C53">
        <f t="shared" si="4"/>
        <v>45.921430926465945</v>
      </c>
      <c r="D53" s="13">
        <f t="shared" si="0"/>
        <v>-8.9214309264659448</v>
      </c>
      <c r="E53" s="13">
        <f t="shared" si="1"/>
        <v>8.9214309264659448</v>
      </c>
      <c r="F53" s="13">
        <f t="shared" si="2"/>
        <v>79.591929775703008</v>
      </c>
      <c r="G53" s="5">
        <f t="shared" si="3"/>
        <v>0.24111975476934985</v>
      </c>
    </row>
    <row r="54" spans="1:7" ht="15.75" customHeight="1">
      <c r="A54" s="3">
        <v>21603</v>
      </c>
      <c r="B54" s="4">
        <v>35</v>
      </c>
      <c r="C54">
        <f t="shared" si="4"/>
        <v>39.676429277939782</v>
      </c>
      <c r="D54" s="13">
        <f t="shared" si="0"/>
        <v>-4.676429277939782</v>
      </c>
      <c r="E54" s="13">
        <f t="shared" si="1"/>
        <v>4.676429277939782</v>
      </c>
      <c r="F54" s="13">
        <f t="shared" si="2"/>
        <v>21.86899079157239</v>
      </c>
      <c r="G54" s="5">
        <f t="shared" si="3"/>
        <v>0.13361226508399376</v>
      </c>
    </row>
    <row r="55" spans="1:7" ht="15.75" customHeight="1">
      <c r="A55" s="3">
        <v>21604</v>
      </c>
      <c r="B55" s="4">
        <v>52</v>
      </c>
      <c r="C55">
        <f t="shared" si="4"/>
        <v>36.402928783381938</v>
      </c>
      <c r="D55" s="13">
        <f t="shared" si="0"/>
        <v>15.597071216618062</v>
      </c>
      <c r="E55" s="13">
        <f t="shared" si="1"/>
        <v>15.597071216618062</v>
      </c>
      <c r="F55" s="13">
        <f t="shared" si="2"/>
        <v>243.26863053625561</v>
      </c>
      <c r="G55" s="5">
        <f t="shared" si="3"/>
        <v>0.29994367724265503</v>
      </c>
    </row>
    <row r="56" spans="1:7" ht="15.75" customHeight="1">
      <c r="A56" s="3">
        <v>21605</v>
      </c>
      <c r="B56" s="4">
        <v>42</v>
      </c>
      <c r="C56">
        <f t="shared" si="4"/>
        <v>47.32087863501458</v>
      </c>
      <c r="D56" s="13">
        <f t="shared" si="0"/>
        <v>-5.32087863501458</v>
      </c>
      <c r="E56" s="13">
        <f t="shared" si="1"/>
        <v>5.32087863501458</v>
      </c>
      <c r="F56" s="13">
        <f t="shared" si="2"/>
        <v>28.311749448554622</v>
      </c>
      <c r="G56" s="5">
        <f t="shared" si="3"/>
        <v>0.12668758654796619</v>
      </c>
    </row>
    <row r="57" spans="1:7" ht="15.75" customHeight="1">
      <c r="A57" s="3">
        <v>21606</v>
      </c>
      <c r="B57" s="4">
        <v>45</v>
      </c>
      <c r="C57">
        <f t="shared" si="4"/>
        <v>43.596263590504371</v>
      </c>
      <c r="D57" s="13">
        <f t="shared" si="0"/>
        <v>1.4037364094956288</v>
      </c>
      <c r="E57" s="13">
        <f t="shared" si="1"/>
        <v>1.4037364094956288</v>
      </c>
      <c r="F57" s="13">
        <f t="shared" si="2"/>
        <v>1.9704759073436797</v>
      </c>
      <c r="G57" s="5">
        <f t="shared" si="3"/>
        <v>3.1194142433236198E-2</v>
      </c>
    </row>
    <row r="58" spans="1:7" ht="15.75" customHeight="1">
      <c r="A58" s="3">
        <v>21607</v>
      </c>
      <c r="B58" s="4">
        <v>39</v>
      </c>
      <c r="C58">
        <f t="shared" si="4"/>
        <v>44.578879077151306</v>
      </c>
      <c r="D58" s="13">
        <f t="shared" si="0"/>
        <v>-5.5788790771513064</v>
      </c>
      <c r="E58" s="13">
        <f t="shared" si="1"/>
        <v>5.5788790771513064</v>
      </c>
      <c r="F58" s="13">
        <f t="shared" si="2"/>
        <v>31.123891757476613</v>
      </c>
      <c r="G58" s="5">
        <f t="shared" si="3"/>
        <v>0.14304818146541812</v>
      </c>
    </row>
    <row r="59" spans="1:7" ht="15.75" customHeight="1">
      <c r="A59" s="3">
        <v>21608</v>
      </c>
      <c r="B59" s="4">
        <v>37</v>
      </c>
      <c r="C59">
        <f t="shared" si="4"/>
        <v>40.673663723145388</v>
      </c>
      <c r="D59" s="13">
        <f t="shared" si="0"/>
        <v>-3.6736637231453884</v>
      </c>
      <c r="E59" s="13">
        <f t="shared" si="1"/>
        <v>3.6736637231453884</v>
      </c>
      <c r="F59" s="13">
        <f t="shared" si="2"/>
        <v>13.495805150754437</v>
      </c>
      <c r="G59" s="5">
        <f t="shared" si="3"/>
        <v>9.928820873365915E-2</v>
      </c>
    </row>
    <row r="60" spans="1:7" ht="15.75" customHeight="1">
      <c r="A60" s="3">
        <v>21609</v>
      </c>
      <c r="B60" s="4">
        <v>30</v>
      </c>
      <c r="C60">
        <f t="shared" si="4"/>
        <v>38.102099116943613</v>
      </c>
      <c r="D60" s="13">
        <f t="shared" si="0"/>
        <v>-8.102099116943613</v>
      </c>
      <c r="E60" s="13">
        <f t="shared" si="1"/>
        <v>8.102099116943613</v>
      </c>
      <c r="F60" s="13">
        <f t="shared" si="2"/>
        <v>65.644010100778473</v>
      </c>
      <c r="G60" s="5">
        <f t="shared" si="3"/>
        <v>0.2700699705647871</v>
      </c>
    </row>
    <row r="61" spans="1:7" ht="15.75" customHeight="1">
      <c r="A61" s="3">
        <v>21610</v>
      </c>
      <c r="B61" s="4">
        <v>35</v>
      </c>
      <c r="C61">
        <f t="shared" si="4"/>
        <v>32.430629735083087</v>
      </c>
      <c r="D61" s="13">
        <f t="shared" si="0"/>
        <v>2.5693702649169126</v>
      </c>
      <c r="E61" s="13">
        <f t="shared" si="1"/>
        <v>2.5693702649169126</v>
      </c>
      <c r="F61" s="13">
        <f t="shared" si="2"/>
        <v>6.6016635582392054</v>
      </c>
      <c r="G61" s="5">
        <f t="shared" si="3"/>
        <v>7.3410578997626069E-2</v>
      </c>
    </row>
    <row r="62" spans="1:7" ht="15.75" customHeight="1">
      <c r="A62" s="3">
        <v>21611</v>
      </c>
      <c r="B62" s="4">
        <v>28</v>
      </c>
      <c r="C62">
        <f t="shared" si="4"/>
        <v>34.229188920524926</v>
      </c>
      <c r="D62" s="13">
        <f t="shared" si="0"/>
        <v>-6.2291889205249262</v>
      </c>
      <c r="E62" s="13">
        <f t="shared" si="1"/>
        <v>6.2291889205249262</v>
      </c>
      <c r="F62" s="13">
        <f t="shared" si="2"/>
        <v>38.802794607590499</v>
      </c>
      <c r="G62" s="5">
        <f t="shared" si="3"/>
        <v>0.22247103287589023</v>
      </c>
    </row>
    <row r="63" spans="1:7" ht="15.75" customHeight="1">
      <c r="A63" s="3">
        <v>21612</v>
      </c>
      <c r="B63" s="4">
        <v>45</v>
      </c>
      <c r="C63">
        <f t="shared" si="4"/>
        <v>29.868756676157474</v>
      </c>
      <c r="D63" s="13">
        <f t="shared" si="0"/>
        <v>15.131243323842526</v>
      </c>
      <c r="E63" s="13">
        <f t="shared" si="1"/>
        <v>15.131243323842526</v>
      </c>
      <c r="F63" s="13">
        <f t="shared" si="2"/>
        <v>228.95452452532899</v>
      </c>
      <c r="G63" s="5">
        <f t="shared" si="3"/>
        <v>0.33624985164094501</v>
      </c>
    </row>
    <row r="64" spans="1:7" ht="15.75" customHeight="1">
      <c r="A64" s="3">
        <v>21613</v>
      </c>
      <c r="B64" s="4">
        <v>34</v>
      </c>
      <c r="C64">
        <f t="shared" si="4"/>
        <v>40.460627002847239</v>
      </c>
      <c r="D64" s="13">
        <f t="shared" si="0"/>
        <v>-6.4606270028472395</v>
      </c>
      <c r="E64" s="13">
        <f t="shared" si="1"/>
        <v>6.4606270028472395</v>
      </c>
      <c r="F64" s="13">
        <f t="shared" si="2"/>
        <v>41.739701269918903</v>
      </c>
      <c r="G64" s="5">
        <f t="shared" si="3"/>
        <v>0.19001844126021292</v>
      </c>
    </row>
    <row r="65" spans="1:7" ht="15.75" customHeight="1">
      <c r="A65" s="3">
        <v>21614</v>
      </c>
      <c r="B65" s="4">
        <v>36</v>
      </c>
      <c r="C65">
        <f t="shared" si="4"/>
        <v>35.93818810085417</v>
      </c>
      <c r="D65" s="13">
        <f t="shared" si="0"/>
        <v>6.1811899145830296E-2</v>
      </c>
      <c r="E65" s="13">
        <f t="shared" si="1"/>
        <v>6.1811899145830296E-2</v>
      </c>
      <c r="F65" s="13">
        <f t="shared" si="2"/>
        <v>3.820710876014296E-3</v>
      </c>
      <c r="G65" s="5">
        <f t="shared" si="3"/>
        <v>1.716997198495286E-3</v>
      </c>
    </row>
    <row r="66" spans="1:7" ht="15.75" customHeight="1">
      <c r="A66" s="3">
        <v>21615</v>
      </c>
      <c r="B66" s="4">
        <v>50</v>
      </c>
      <c r="C66">
        <f t="shared" si="4"/>
        <v>35.981456430256252</v>
      </c>
      <c r="D66" s="13">
        <f t="shared" si="0"/>
        <v>14.018543569743748</v>
      </c>
      <c r="E66" s="13">
        <f t="shared" si="1"/>
        <v>14.018543569743748</v>
      </c>
      <c r="F66" s="13">
        <f t="shared" si="2"/>
        <v>196.51956381680378</v>
      </c>
      <c r="G66" s="5">
        <f t="shared" si="3"/>
        <v>0.28037087139487499</v>
      </c>
    </row>
    <row r="67" spans="1:7" ht="15.75" customHeight="1">
      <c r="A67" s="3">
        <v>21616</v>
      </c>
      <c r="B67" s="4">
        <v>44</v>
      </c>
      <c r="C67">
        <f t="shared" si="4"/>
        <v>45.794436929076873</v>
      </c>
      <c r="D67" s="13">
        <f t="shared" si="0"/>
        <v>-1.7944369290768734</v>
      </c>
      <c r="E67" s="13">
        <f t="shared" si="1"/>
        <v>1.7944369290768734</v>
      </c>
      <c r="F67" s="13">
        <f t="shared" si="2"/>
        <v>3.22000389243484</v>
      </c>
      <c r="G67" s="5">
        <f t="shared" si="3"/>
        <v>4.0782657479019851E-2</v>
      </c>
    </row>
    <row r="68" spans="1:7" ht="15.75" customHeight="1">
      <c r="A68" s="3">
        <v>21617</v>
      </c>
      <c r="B68" s="4">
        <v>39</v>
      </c>
      <c r="C68">
        <f t="shared" ref="C68:C131" si="5">0.7*B67+0.3*C67</f>
        <v>44.538331078723061</v>
      </c>
      <c r="D68" s="13">
        <f t="shared" ref="D68:D131" si="6">B68-C68</f>
        <v>-5.5383310787230613</v>
      </c>
      <c r="E68" s="13">
        <f t="shared" ref="E68:E131" si="7">ABS(D68)</f>
        <v>5.5383310787230613</v>
      </c>
      <c r="F68" s="13">
        <f t="shared" ref="F68:F131" si="8">E68^2</f>
        <v>30.673111137549746</v>
      </c>
      <c r="G68" s="5">
        <f t="shared" ref="G68:G131" si="9">E68/B68</f>
        <v>0.14200848919802722</v>
      </c>
    </row>
    <row r="69" spans="1:7" ht="15.75" customHeight="1">
      <c r="A69" s="3">
        <v>21618</v>
      </c>
      <c r="B69" s="4">
        <v>32</v>
      </c>
      <c r="C69">
        <f t="shared" si="5"/>
        <v>40.661499323616916</v>
      </c>
      <c r="D69" s="13">
        <f t="shared" si="6"/>
        <v>-8.6614993236169155</v>
      </c>
      <c r="E69" s="13">
        <f t="shared" si="7"/>
        <v>8.6614993236169155</v>
      </c>
      <c r="F69" s="13">
        <f t="shared" si="8"/>
        <v>75.021570533016288</v>
      </c>
      <c r="G69" s="5">
        <f t="shared" si="9"/>
        <v>0.27067185386302861</v>
      </c>
    </row>
    <row r="70" spans="1:7" ht="15.75" customHeight="1">
      <c r="A70" s="3">
        <v>21619</v>
      </c>
      <c r="B70" s="4">
        <v>39</v>
      </c>
      <c r="C70">
        <f t="shared" si="5"/>
        <v>34.598449797085074</v>
      </c>
      <c r="D70" s="13">
        <f t="shared" si="6"/>
        <v>4.401550202914926</v>
      </c>
      <c r="E70" s="13">
        <f t="shared" si="7"/>
        <v>4.401550202914926</v>
      </c>
      <c r="F70" s="13">
        <f t="shared" si="8"/>
        <v>19.373644188780428</v>
      </c>
      <c r="G70" s="5">
        <f t="shared" si="9"/>
        <v>0.11286026161320323</v>
      </c>
    </row>
    <row r="71" spans="1:7" ht="15.75" customHeight="1">
      <c r="A71" s="3">
        <v>21620</v>
      </c>
      <c r="B71" s="4">
        <v>45</v>
      </c>
      <c r="C71">
        <f t="shared" si="5"/>
        <v>37.679534939125517</v>
      </c>
      <c r="D71" s="13">
        <f t="shared" si="6"/>
        <v>7.3204650608744828</v>
      </c>
      <c r="E71" s="13">
        <f t="shared" si="7"/>
        <v>7.3204650608744828</v>
      </c>
      <c r="F71" s="13">
        <f t="shared" si="8"/>
        <v>53.589208707484048</v>
      </c>
      <c r="G71" s="5">
        <f t="shared" si="9"/>
        <v>0.16267700135276628</v>
      </c>
    </row>
    <row r="72" spans="1:7" ht="15.75" customHeight="1">
      <c r="A72" s="3">
        <v>21621</v>
      </c>
      <c r="B72" s="4">
        <v>43</v>
      </c>
      <c r="C72">
        <f t="shared" si="5"/>
        <v>42.803860481737651</v>
      </c>
      <c r="D72" s="13">
        <f t="shared" si="6"/>
        <v>0.1961395182623491</v>
      </c>
      <c r="E72" s="13">
        <f t="shared" si="7"/>
        <v>0.1961395182623491</v>
      </c>
      <c r="F72" s="13">
        <f t="shared" si="8"/>
        <v>3.8470710624186374E-2</v>
      </c>
      <c r="G72" s="5">
        <f t="shared" si="9"/>
        <v>4.5613841456360257E-3</v>
      </c>
    </row>
    <row r="73" spans="1:7" ht="15.75" customHeight="1">
      <c r="A73" s="3">
        <v>21622</v>
      </c>
      <c r="B73" s="4">
        <v>39</v>
      </c>
      <c r="C73">
        <f t="shared" si="5"/>
        <v>42.941158144521296</v>
      </c>
      <c r="D73" s="13">
        <f t="shared" si="6"/>
        <v>-3.941158144521296</v>
      </c>
      <c r="E73" s="13">
        <f t="shared" si="7"/>
        <v>3.941158144521296</v>
      </c>
      <c r="F73" s="13">
        <f t="shared" si="8"/>
        <v>15.532727520126544</v>
      </c>
      <c r="G73" s="5">
        <f t="shared" si="9"/>
        <v>0.10105533703900758</v>
      </c>
    </row>
    <row r="74" spans="1:7" ht="15.75" customHeight="1">
      <c r="A74" s="3">
        <v>21623</v>
      </c>
      <c r="B74" s="4">
        <v>31</v>
      </c>
      <c r="C74">
        <f t="shared" si="5"/>
        <v>40.182347443356385</v>
      </c>
      <c r="D74" s="13">
        <f t="shared" si="6"/>
        <v>-9.1823474433563845</v>
      </c>
      <c r="E74" s="13">
        <f t="shared" si="7"/>
        <v>9.1823474433563845</v>
      </c>
      <c r="F74" s="13">
        <f t="shared" si="8"/>
        <v>84.315504570513525</v>
      </c>
      <c r="G74" s="5">
        <f t="shared" si="9"/>
        <v>0.29620475623730275</v>
      </c>
    </row>
    <row r="75" spans="1:7" ht="15.75" customHeight="1">
      <c r="A75" s="3">
        <v>21624</v>
      </c>
      <c r="B75" s="4">
        <v>27</v>
      </c>
      <c r="C75">
        <f t="shared" si="5"/>
        <v>33.754704233006912</v>
      </c>
      <c r="D75" s="13">
        <f t="shared" si="6"/>
        <v>-6.7547042330069118</v>
      </c>
      <c r="E75" s="13">
        <f t="shared" si="7"/>
        <v>6.7547042330069118</v>
      </c>
      <c r="F75" s="13">
        <f t="shared" si="8"/>
        <v>45.626029275401493</v>
      </c>
      <c r="G75" s="5">
        <f t="shared" si="9"/>
        <v>0.25017423085210783</v>
      </c>
    </row>
    <row r="76" spans="1:7" ht="15.75" customHeight="1">
      <c r="A76" s="3">
        <v>21625</v>
      </c>
      <c r="B76" s="4">
        <v>30</v>
      </c>
      <c r="C76">
        <f t="shared" si="5"/>
        <v>29.02641126990207</v>
      </c>
      <c r="D76" s="13">
        <f t="shared" si="6"/>
        <v>0.97358873009793001</v>
      </c>
      <c r="E76" s="13">
        <f t="shared" si="7"/>
        <v>0.97358873009793001</v>
      </c>
      <c r="F76" s="13">
        <f t="shared" si="8"/>
        <v>0.9478750153737</v>
      </c>
      <c r="G76" s="5">
        <f t="shared" si="9"/>
        <v>3.2452957669930997E-2</v>
      </c>
    </row>
    <row r="77" spans="1:7" ht="15.75" customHeight="1">
      <c r="A77" s="3">
        <v>21626</v>
      </c>
      <c r="B77" s="4">
        <v>42</v>
      </c>
      <c r="C77">
        <f t="shared" si="5"/>
        <v>29.70792338097062</v>
      </c>
      <c r="D77" s="13">
        <f t="shared" si="6"/>
        <v>12.29207661902938</v>
      </c>
      <c r="E77" s="13">
        <f t="shared" si="7"/>
        <v>12.29207661902938</v>
      </c>
      <c r="F77" s="13">
        <f t="shared" si="8"/>
        <v>151.09514760808875</v>
      </c>
      <c r="G77" s="5">
        <f t="shared" si="9"/>
        <v>0.29266849092927094</v>
      </c>
    </row>
    <row r="78" spans="1:7" ht="15.75" customHeight="1">
      <c r="A78" s="3">
        <v>21627</v>
      </c>
      <c r="B78" s="4">
        <v>46</v>
      </c>
      <c r="C78">
        <f t="shared" si="5"/>
        <v>38.312377014291187</v>
      </c>
      <c r="D78" s="13">
        <f t="shared" si="6"/>
        <v>7.6876229857088134</v>
      </c>
      <c r="E78" s="13">
        <f t="shared" si="7"/>
        <v>7.6876229857088134</v>
      </c>
      <c r="F78" s="13">
        <f t="shared" si="8"/>
        <v>59.099547170398488</v>
      </c>
      <c r="G78" s="5">
        <f t="shared" si="9"/>
        <v>0.16712223881975682</v>
      </c>
    </row>
    <row r="79" spans="1:7" ht="15.75" customHeight="1">
      <c r="A79" s="3">
        <v>21628</v>
      </c>
      <c r="B79" s="4">
        <v>41</v>
      </c>
      <c r="C79">
        <f t="shared" si="5"/>
        <v>43.693713104287355</v>
      </c>
      <c r="D79" s="13">
        <f t="shared" si="6"/>
        <v>-2.6937131042873546</v>
      </c>
      <c r="E79" s="13">
        <f t="shared" si="7"/>
        <v>2.6937131042873546</v>
      </c>
      <c r="F79" s="13">
        <f t="shared" si="8"/>
        <v>7.2560902882094167</v>
      </c>
      <c r="G79" s="5">
        <f t="shared" si="9"/>
        <v>6.5700319616764744E-2</v>
      </c>
    </row>
    <row r="80" spans="1:7" ht="15.75" customHeight="1">
      <c r="A80" s="3">
        <v>21629</v>
      </c>
      <c r="B80" s="4">
        <v>36</v>
      </c>
      <c r="C80">
        <f t="shared" si="5"/>
        <v>41.808113931286208</v>
      </c>
      <c r="D80" s="13">
        <f t="shared" si="6"/>
        <v>-5.8081139312862078</v>
      </c>
      <c r="E80" s="13">
        <f t="shared" si="7"/>
        <v>5.8081139312862078</v>
      </c>
      <c r="F80" s="13">
        <f t="shared" si="8"/>
        <v>33.73418743880093</v>
      </c>
      <c r="G80" s="5">
        <f t="shared" si="9"/>
        <v>0.16133649809128356</v>
      </c>
    </row>
    <row r="81" spans="1:7" ht="15.75" customHeight="1">
      <c r="A81" s="3">
        <v>21630</v>
      </c>
      <c r="B81" s="4">
        <v>45</v>
      </c>
      <c r="C81">
        <f t="shared" si="5"/>
        <v>37.74243417938586</v>
      </c>
      <c r="D81" s="13">
        <f t="shared" si="6"/>
        <v>7.2575658206141398</v>
      </c>
      <c r="E81" s="13">
        <f t="shared" si="7"/>
        <v>7.2575658206141398</v>
      </c>
      <c r="F81" s="13">
        <f t="shared" si="8"/>
        <v>52.672261640546594</v>
      </c>
      <c r="G81" s="5">
        <f t="shared" si="9"/>
        <v>0.161279240458092</v>
      </c>
    </row>
    <row r="82" spans="1:7" ht="15.75" customHeight="1">
      <c r="A82" s="3">
        <v>21631</v>
      </c>
      <c r="B82" s="4">
        <v>46</v>
      </c>
      <c r="C82">
        <f t="shared" si="5"/>
        <v>42.822730253815756</v>
      </c>
      <c r="D82" s="13">
        <f t="shared" si="6"/>
        <v>3.1772697461842441</v>
      </c>
      <c r="E82" s="13">
        <f t="shared" si="7"/>
        <v>3.1772697461842441</v>
      </c>
      <c r="F82" s="13">
        <f t="shared" si="8"/>
        <v>10.095043040017691</v>
      </c>
      <c r="G82" s="5">
        <f t="shared" si="9"/>
        <v>6.9071081438787915E-2</v>
      </c>
    </row>
    <row r="83" spans="1:7" ht="15.75" customHeight="1">
      <c r="A83" s="3">
        <v>21632</v>
      </c>
      <c r="B83" s="4">
        <v>43</v>
      </c>
      <c r="C83">
        <f t="shared" si="5"/>
        <v>45.046819076144722</v>
      </c>
      <c r="D83" s="13">
        <f t="shared" si="6"/>
        <v>-2.0468190761447218</v>
      </c>
      <c r="E83" s="13">
        <f t="shared" si="7"/>
        <v>2.0468190761447218</v>
      </c>
      <c r="F83" s="13">
        <f t="shared" si="8"/>
        <v>4.1894683304699321</v>
      </c>
      <c r="G83" s="5">
        <f t="shared" si="9"/>
        <v>4.7600443631272603E-2</v>
      </c>
    </row>
    <row r="84" spans="1:7" ht="15.75" customHeight="1">
      <c r="A84" s="3">
        <v>21633</v>
      </c>
      <c r="B84" s="4">
        <v>38</v>
      </c>
      <c r="C84">
        <f t="shared" si="5"/>
        <v>43.614045722843414</v>
      </c>
      <c r="D84" s="13">
        <f t="shared" si="6"/>
        <v>-5.6140457228434144</v>
      </c>
      <c r="E84" s="13">
        <f t="shared" si="7"/>
        <v>5.6140457228434144</v>
      </c>
      <c r="F84" s="13">
        <f t="shared" si="8"/>
        <v>31.517509378176435</v>
      </c>
      <c r="G84" s="5">
        <f t="shared" si="9"/>
        <v>0.1477380453379846</v>
      </c>
    </row>
    <row r="85" spans="1:7" ht="15.75" customHeight="1">
      <c r="A85" s="3">
        <v>21634</v>
      </c>
      <c r="B85" s="4">
        <v>34</v>
      </c>
      <c r="C85">
        <f t="shared" si="5"/>
        <v>39.684213716853023</v>
      </c>
      <c r="D85" s="13">
        <f t="shared" si="6"/>
        <v>-5.6842137168530229</v>
      </c>
      <c r="E85" s="13">
        <f t="shared" si="7"/>
        <v>5.6842137168530229</v>
      </c>
      <c r="F85" s="13">
        <f t="shared" si="8"/>
        <v>32.310285578860061</v>
      </c>
      <c r="G85" s="5">
        <f t="shared" si="9"/>
        <v>0.1671827563780301</v>
      </c>
    </row>
    <row r="86" spans="1:7" ht="15.75" customHeight="1">
      <c r="A86" s="3">
        <v>21635</v>
      </c>
      <c r="B86" s="4">
        <v>35</v>
      </c>
      <c r="C86">
        <f t="shared" si="5"/>
        <v>35.705264115055904</v>
      </c>
      <c r="D86" s="13">
        <f t="shared" si="6"/>
        <v>-0.70526411505590403</v>
      </c>
      <c r="E86" s="13">
        <f t="shared" si="7"/>
        <v>0.70526411505590403</v>
      </c>
      <c r="F86" s="13">
        <f t="shared" si="8"/>
        <v>0.49739747198558742</v>
      </c>
      <c r="G86" s="5">
        <f t="shared" si="9"/>
        <v>2.0150403287311543E-2</v>
      </c>
    </row>
    <row r="87" spans="1:7" ht="15.75" customHeight="1">
      <c r="A87" s="3">
        <v>21636</v>
      </c>
      <c r="B87" s="4">
        <v>56</v>
      </c>
      <c r="C87">
        <f t="shared" si="5"/>
        <v>35.211579234516769</v>
      </c>
      <c r="D87" s="13">
        <f t="shared" si="6"/>
        <v>20.788420765483231</v>
      </c>
      <c r="E87" s="13">
        <f t="shared" si="7"/>
        <v>20.788420765483231</v>
      </c>
      <c r="F87" s="13">
        <f t="shared" si="8"/>
        <v>432.1584379227744</v>
      </c>
      <c r="G87" s="5">
        <f t="shared" si="9"/>
        <v>0.37122179938362915</v>
      </c>
    </row>
    <row r="88" spans="1:7" ht="15.75" customHeight="1">
      <c r="A88" s="3">
        <v>21637</v>
      </c>
      <c r="B88" s="4">
        <v>36</v>
      </c>
      <c r="C88">
        <f t="shared" si="5"/>
        <v>49.763473770355027</v>
      </c>
      <c r="D88" s="13">
        <f t="shared" si="6"/>
        <v>-13.763473770355027</v>
      </c>
      <c r="E88" s="13">
        <f t="shared" si="7"/>
        <v>13.763473770355027</v>
      </c>
      <c r="F88" s="13">
        <f t="shared" si="8"/>
        <v>189.43321022725084</v>
      </c>
      <c r="G88" s="5">
        <f t="shared" si="9"/>
        <v>0.38231871584319521</v>
      </c>
    </row>
    <row r="89" spans="1:7" ht="15.75" customHeight="1">
      <c r="A89" s="3">
        <v>21638</v>
      </c>
      <c r="B89" s="4">
        <v>32</v>
      </c>
      <c r="C89">
        <f t="shared" si="5"/>
        <v>40.129042131106509</v>
      </c>
      <c r="D89" s="13">
        <f t="shared" si="6"/>
        <v>-8.1290421311065089</v>
      </c>
      <c r="E89" s="13">
        <f t="shared" si="7"/>
        <v>8.1290421311065089</v>
      </c>
      <c r="F89" s="13">
        <f t="shared" si="8"/>
        <v>66.081325969304658</v>
      </c>
      <c r="G89" s="5">
        <f t="shared" si="9"/>
        <v>0.2540325665970784</v>
      </c>
    </row>
    <row r="90" spans="1:7" ht="15.75" customHeight="1">
      <c r="A90" s="3">
        <v>21639</v>
      </c>
      <c r="B90" s="4">
        <v>50</v>
      </c>
      <c r="C90">
        <f t="shared" si="5"/>
        <v>34.438712639331953</v>
      </c>
      <c r="D90" s="13">
        <f t="shared" si="6"/>
        <v>15.561287360668047</v>
      </c>
      <c r="E90" s="13">
        <f t="shared" si="7"/>
        <v>15.561287360668047</v>
      </c>
      <c r="F90" s="13">
        <f t="shared" si="8"/>
        <v>242.1536643212871</v>
      </c>
      <c r="G90" s="5">
        <f t="shared" si="9"/>
        <v>0.31122574721336094</v>
      </c>
    </row>
    <row r="91" spans="1:7" ht="15.75" customHeight="1">
      <c r="A91" s="3">
        <v>21640</v>
      </c>
      <c r="B91" s="4">
        <v>41</v>
      </c>
      <c r="C91">
        <f t="shared" si="5"/>
        <v>45.331613791799583</v>
      </c>
      <c r="D91" s="13">
        <f t="shared" si="6"/>
        <v>-4.3316137917995832</v>
      </c>
      <c r="E91" s="13">
        <f t="shared" si="7"/>
        <v>4.3316137917995832</v>
      </c>
      <c r="F91" s="13">
        <f t="shared" si="8"/>
        <v>18.762878041308362</v>
      </c>
      <c r="G91" s="5">
        <f t="shared" si="9"/>
        <v>0.10564911687316056</v>
      </c>
    </row>
    <row r="92" spans="1:7" ht="15.75" customHeight="1">
      <c r="A92" s="3">
        <v>21641</v>
      </c>
      <c r="B92" s="4">
        <v>39</v>
      </c>
      <c r="C92">
        <f t="shared" si="5"/>
        <v>42.299484137539878</v>
      </c>
      <c r="D92" s="13">
        <f t="shared" si="6"/>
        <v>-3.2994841375398778</v>
      </c>
      <c r="E92" s="13">
        <f t="shared" si="7"/>
        <v>3.2994841375398778</v>
      </c>
      <c r="F92" s="13">
        <f t="shared" si="8"/>
        <v>10.886595573877271</v>
      </c>
      <c r="G92" s="5">
        <f t="shared" si="9"/>
        <v>8.4602157372817385E-2</v>
      </c>
    </row>
    <row r="93" spans="1:7" ht="15.75" customHeight="1">
      <c r="A93" s="3">
        <v>21642</v>
      </c>
      <c r="B93" s="4">
        <v>41</v>
      </c>
      <c r="C93">
        <f t="shared" si="5"/>
        <v>39.98984524126196</v>
      </c>
      <c r="D93" s="13">
        <f t="shared" si="6"/>
        <v>1.0101547587380395</v>
      </c>
      <c r="E93" s="13">
        <f t="shared" si="7"/>
        <v>1.0101547587380395</v>
      </c>
      <c r="F93" s="13">
        <f t="shared" si="8"/>
        <v>1.0204126366011068</v>
      </c>
      <c r="G93" s="5">
        <f t="shared" si="9"/>
        <v>2.4637920944830232E-2</v>
      </c>
    </row>
    <row r="94" spans="1:7" ht="15.75" customHeight="1">
      <c r="A94" s="3">
        <v>21643</v>
      </c>
      <c r="B94" s="4">
        <v>47</v>
      </c>
      <c r="C94">
        <f t="shared" si="5"/>
        <v>40.69695357237859</v>
      </c>
      <c r="D94" s="13">
        <f t="shared" si="6"/>
        <v>6.3030464276214104</v>
      </c>
      <c r="E94" s="13">
        <f t="shared" si="7"/>
        <v>6.3030464276214104</v>
      </c>
      <c r="F94" s="13">
        <f t="shared" si="8"/>
        <v>39.728394268751025</v>
      </c>
      <c r="G94" s="5">
        <f t="shared" si="9"/>
        <v>0.13410737080045554</v>
      </c>
    </row>
    <row r="95" spans="1:7" ht="15.75" customHeight="1">
      <c r="A95" s="3">
        <v>21644</v>
      </c>
      <c r="B95" s="4">
        <v>34</v>
      </c>
      <c r="C95">
        <f t="shared" si="5"/>
        <v>45.109086071713577</v>
      </c>
      <c r="D95" s="13">
        <f t="shared" si="6"/>
        <v>-11.109086071713577</v>
      </c>
      <c r="E95" s="13">
        <f t="shared" si="7"/>
        <v>11.109086071713577</v>
      </c>
      <c r="F95" s="13">
        <f t="shared" si="8"/>
        <v>123.41179334874059</v>
      </c>
      <c r="G95" s="5">
        <f t="shared" si="9"/>
        <v>0.32673782563863463</v>
      </c>
    </row>
    <row r="96" spans="1:7" ht="15.75" customHeight="1">
      <c r="A96" s="3">
        <v>21645</v>
      </c>
      <c r="B96" s="4">
        <v>36</v>
      </c>
      <c r="C96">
        <f t="shared" si="5"/>
        <v>37.332725821514067</v>
      </c>
      <c r="D96" s="13">
        <f t="shared" si="6"/>
        <v>-1.3327258215140674</v>
      </c>
      <c r="E96" s="13">
        <f t="shared" si="7"/>
        <v>1.3327258215140674</v>
      </c>
      <c r="F96" s="13">
        <f t="shared" si="8"/>
        <v>1.7761581153303458</v>
      </c>
      <c r="G96" s="5">
        <f t="shared" si="9"/>
        <v>3.7020161708724096E-2</v>
      </c>
    </row>
    <row r="97" spans="1:7" ht="15.75" customHeight="1">
      <c r="A97" s="3">
        <v>21646</v>
      </c>
      <c r="B97" s="4">
        <v>33</v>
      </c>
      <c r="C97">
        <f t="shared" si="5"/>
        <v>36.399817746454218</v>
      </c>
      <c r="D97" s="13">
        <f t="shared" si="6"/>
        <v>-3.3998177464542181</v>
      </c>
      <c r="E97" s="13">
        <f t="shared" si="7"/>
        <v>3.3998177464542181</v>
      </c>
      <c r="F97" s="13">
        <f t="shared" si="8"/>
        <v>11.558760709105037</v>
      </c>
      <c r="G97" s="5">
        <f t="shared" si="9"/>
        <v>0.10302478019558237</v>
      </c>
    </row>
    <row r="98" spans="1:7" ht="15.75" customHeight="1">
      <c r="A98" s="3">
        <v>21647</v>
      </c>
      <c r="B98" s="4">
        <v>35</v>
      </c>
      <c r="C98">
        <f t="shared" si="5"/>
        <v>34.019945323936263</v>
      </c>
      <c r="D98" s="13">
        <f t="shared" si="6"/>
        <v>0.98005467606373742</v>
      </c>
      <c r="E98" s="13">
        <f t="shared" si="7"/>
        <v>0.98005467606373742</v>
      </c>
      <c r="F98" s="13">
        <f t="shared" si="8"/>
        <v>0.96050716807439729</v>
      </c>
      <c r="G98" s="5">
        <f t="shared" si="9"/>
        <v>2.8001562173249641E-2</v>
      </c>
    </row>
    <row r="99" spans="1:7" ht="15.75" customHeight="1">
      <c r="A99" s="3">
        <v>21648</v>
      </c>
      <c r="B99" s="4">
        <v>38</v>
      </c>
      <c r="C99">
        <f t="shared" si="5"/>
        <v>34.705983597180875</v>
      </c>
      <c r="D99" s="13">
        <f t="shared" si="6"/>
        <v>3.2940164028191248</v>
      </c>
      <c r="E99" s="13">
        <f t="shared" si="7"/>
        <v>3.2940164028191248</v>
      </c>
      <c r="F99" s="13">
        <f t="shared" si="8"/>
        <v>10.850544062041447</v>
      </c>
      <c r="G99" s="5">
        <f t="shared" si="9"/>
        <v>8.6684642179450655E-2</v>
      </c>
    </row>
    <row r="100" spans="1:7" ht="15.75" customHeight="1">
      <c r="A100" s="3">
        <v>21649</v>
      </c>
      <c r="B100" s="4">
        <v>38</v>
      </c>
      <c r="C100">
        <f t="shared" si="5"/>
        <v>37.011795079154261</v>
      </c>
      <c r="D100" s="13">
        <f t="shared" si="6"/>
        <v>0.98820492084573885</v>
      </c>
      <c r="E100" s="13">
        <f t="shared" si="7"/>
        <v>0.98820492084573885</v>
      </c>
      <c r="F100" s="13">
        <f t="shared" si="8"/>
        <v>0.97654896558373294</v>
      </c>
      <c r="G100" s="5">
        <f t="shared" si="9"/>
        <v>2.6005392653835235E-2</v>
      </c>
    </row>
    <row r="101" spans="1:7" ht="15.75" customHeight="1">
      <c r="A101" s="3">
        <v>21650</v>
      </c>
      <c r="B101" s="4">
        <v>34</v>
      </c>
      <c r="C101">
        <f t="shared" si="5"/>
        <v>37.703538523746275</v>
      </c>
      <c r="D101" s="13">
        <f t="shared" si="6"/>
        <v>-3.7035385237462748</v>
      </c>
      <c r="E101" s="13">
        <f t="shared" si="7"/>
        <v>3.7035385237462748</v>
      </c>
      <c r="F101" s="13">
        <f t="shared" si="8"/>
        <v>13.716197596872737</v>
      </c>
      <c r="G101" s="5">
        <f t="shared" si="9"/>
        <v>0.10892760363959632</v>
      </c>
    </row>
    <row r="102" spans="1:7" ht="15.75" customHeight="1">
      <c r="A102" s="3">
        <v>21651</v>
      </c>
      <c r="B102" s="4">
        <v>53</v>
      </c>
      <c r="C102">
        <f t="shared" si="5"/>
        <v>35.111061557123875</v>
      </c>
      <c r="D102" s="13">
        <f t="shared" si="6"/>
        <v>17.888938442876125</v>
      </c>
      <c r="E102" s="13">
        <f t="shared" si="7"/>
        <v>17.888938442876125</v>
      </c>
      <c r="F102" s="13">
        <f t="shared" si="8"/>
        <v>320.01411861301125</v>
      </c>
      <c r="G102" s="5">
        <f t="shared" si="9"/>
        <v>0.33752714043162502</v>
      </c>
    </row>
    <row r="103" spans="1:7" ht="15.75" customHeight="1">
      <c r="A103" s="3">
        <v>21652</v>
      </c>
      <c r="B103" s="4">
        <v>34</v>
      </c>
      <c r="C103">
        <f t="shared" si="5"/>
        <v>47.633318467137158</v>
      </c>
      <c r="D103" s="13">
        <f t="shared" si="6"/>
        <v>-13.633318467137158</v>
      </c>
      <c r="E103" s="13">
        <f t="shared" si="7"/>
        <v>13.633318467137158</v>
      </c>
      <c r="F103" s="13">
        <f t="shared" si="8"/>
        <v>185.86737242638307</v>
      </c>
      <c r="G103" s="5">
        <f t="shared" si="9"/>
        <v>0.4009799549157988</v>
      </c>
    </row>
    <row r="104" spans="1:7" ht="15.75" customHeight="1">
      <c r="A104" s="3">
        <v>21653</v>
      </c>
      <c r="B104" s="4">
        <v>34</v>
      </c>
      <c r="C104">
        <f t="shared" si="5"/>
        <v>38.089995540141146</v>
      </c>
      <c r="D104" s="13">
        <f t="shared" si="6"/>
        <v>-4.0899955401411461</v>
      </c>
      <c r="E104" s="13">
        <f t="shared" si="7"/>
        <v>4.0899955401411461</v>
      </c>
      <c r="F104" s="13">
        <f t="shared" si="8"/>
        <v>16.728063518374466</v>
      </c>
      <c r="G104" s="5">
        <f t="shared" si="9"/>
        <v>0.12029398647473959</v>
      </c>
    </row>
    <row r="105" spans="1:7" ht="15.75" customHeight="1">
      <c r="A105" s="3">
        <v>21654</v>
      </c>
      <c r="B105" s="4">
        <v>38</v>
      </c>
      <c r="C105">
        <f t="shared" si="5"/>
        <v>35.226998662042341</v>
      </c>
      <c r="D105" s="13">
        <f t="shared" si="6"/>
        <v>2.773001337957659</v>
      </c>
      <c r="E105" s="13">
        <f t="shared" si="7"/>
        <v>2.773001337957659</v>
      </c>
      <c r="F105" s="13">
        <f t="shared" si="8"/>
        <v>7.6895364203149672</v>
      </c>
      <c r="G105" s="5">
        <f t="shared" si="9"/>
        <v>7.2973719419938396E-2</v>
      </c>
    </row>
    <row r="106" spans="1:7" ht="15.75" customHeight="1">
      <c r="A106" s="3">
        <v>21655</v>
      </c>
      <c r="B106" s="4">
        <v>35</v>
      </c>
      <c r="C106">
        <f t="shared" si="5"/>
        <v>37.168099598612699</v>
      </c>
      <c r="D106" s="13">
        <f t="shared" si="6"/>
        <v>-2.1680995986126987</v>
      </c>
      <c r="E106" s="13">
        <f t="shared" si="7"/>
        <v>2.1680995986126987</v>
      </c>
      <c r="F106" s="13">
        <f t="shared" si="8"/>
        <v>4.7006558695045451</v>
      </c>
      <c r="G106" s="5">
        <f t="shared" si="9"/>
        <v>6.194570281750568E-2</v>
      </c>
    </row>
    <row r="107" spans="1:7" ht="15.75" customHeight="1">
      <c r="A107" s="3">
        <v>21656</v>
      </c>
      <c r="B107" s="4">
        <v>32</v>
      </c>
      <c r="C107">
        <f t="shared" si="5"/>
        <v>35.650429879583811</v>
      </c>
      <c r="D107" s="13">
        <f t="shared" si="6"/>
        <v>-3.650429879583811</v>
      </c>
      <c r="E107" s="13">
        <f t="shared" si="7"/>
        <v>3.650429879583811</v>
      </c>
      <c r="F107" s="13">
        <f t="shared" si="8"/>
        <v>13.325638305758277</v>
      </c>
      <c r="G107" s="5">
        <f t="shared" si="9"/>
        <v>0.1140759337369941</v>
      </c>
    </row>
    <row r="108" spans="1:7" ht="15.75" customHeight="1">
      <c r="A108" s="3">
        <v>21657</v>
      </c>
      <c r="B108" s="4">
        <v>42</v>
      </c>
      <c r="C108">
        <f t="shared" si="5"/>
        <v>33.09512896387514</v>
      </c>
      <c r="D108" s="13">
        <f t="shared" si="6"/>
        <v>8.9048710361248595</v>
      </c>
      <c r="E108" s="13">
        <f t="shared" si="7"/>
        <v>8.9048710361248595</v>
      </c>
      <c r="F108" s="13">
        <f t="shared" si="8"/>
        <v>79.296728170015427</v>
      </c>
      <c r="G108" s="5">
        <f t="shared" si="9"/>
        <v>0.21202073895535381</v>
      </c>
    </row>
    <row r="109" spans="1:7" ht="15.75" customHeight="1">
      <c r="A109" s="3">
        <v>21658</v>
      </c>
      <c r="B109" s="4">
        <v>34</v>
      </c>
      <c r="C109">
        <f t="shared" si="5"/>
        <v>39.328538689162542</v>
      </c>
      <c r="D109" s="13">
        <f t="shared" si="6"/>
        <v>-5.3285386891625421</v>
      </c>
      <c r="E109" s="13">
        <f t="shared" si="7"/>
        <v>5.3285386891625421</v>
      </c>
      <c r="F109" s="13">
        <f t="shared" si="8"/>
        <v>28.393324561902062</v>
      </c>
      <c r="G109" s="5">
        <f t="shared" si="9"/>
        <v>0.15672172615183946</v>
      </c>
    </row>
    <row r="110" spans="1:7" ht="15.75" customHeight="1">
      <c r="A110" s="3">
        <v>21659</v>
      </c>
      <c r="B110" s="4">
        <v>46</v>
      </c>
      <c r="C110">
        <f t="shared" si="5"/>
        <v>35.59856160674876</v>
      </c>
      <c r="D110" s="13">
        <f t="shared" si="6"/>
        <v>10.40143839325124</v>
      </c>
      <c r="E110" s="13">
        <f t="shared" si="7"/>
        <v>10.40143839325124</v>
      </c>
      <c r="F110" s="13">
        <f t="shared" si="8"/>
        <v>108.18992064860095</v>
      </c>
      <c r="G110" s="5">
        <f t="shared" si="9"/>
        <v>0.22611822594024436</v>
      </c>
    </row>
    <row r="111" spans="1:7" ht="15.75" customHeight="1">
      <c r="A111" s="3">
        <v>21660</v>
      </c>
      <c r="B111" s="4">
        <v>30</v>
      </c>
      <c r="C111">
        <f t="shared" si="5"/>
        <v>42.879568482024624</v>
      </c>
      <c r="D111" s="13">
        <f t="shared" si="6"/>
        <v>-12.879568482024624</v>
      </c>
      <c r="E111" s="13">
        <f t="shared" si="7"/>
        <v>12.879568482024624</v>
      </c>
      <c r="F111" s="13">
        <f t="shared" si="8"/>
        <v>165.88328428316206</v>
      </c>
      <c r="G111" s="5">
        <f t="shared" si="9"/>
        <v>0.42931894940082077</v>
      </c>
    </row>
    <row r="112" spans="1:7" ht="15.75" customHeight="1">
      <c r="A112" s="3">
        <v>21661</v>
      </c>
      <c r="B112" s="4">
        <v>46</v>
      </c>
      <c r="C112">
        <f t="shared" si="5"/>
        <v>33.863870544607387</v>
      </c>
      <c r="D112" s="13">
        <f t="shared" si="6"/>
        <v>12.136129455392613</v>
      </c>
      <c r="E112" s="13">
        <f t="shared" si="7"/>
        <v>12.136129455392613</v>
      </c>
      <c r="F112" s="13">
        <f t="shared" si="8"/>
        <v>147.28563815804819</v>
      </c>
      <c r="G112" s="5">
        <f t="shared" si="9"/>
        <v>0.26382890120418723</v>
      </c>
    </row>
    <row r="113" spans="1:7" ht="15.75" customHeight="1">
      <c r="A113" s="3">
        <v>21662</v>
      </c>
      <c r="B113" s="4">
        <v>45</v>
      </c>
      <c r="C113">
        <f t="shared" si="5"/>
        <v>42.359161163382211</v>
      </c>
      <c r="D113" s="13">
        <f t="shared" si="6"/>
        <v>2.6408388366177888</v>
      </c>
      <c r="E113" s="13">
        <f t="shared" si="7"/>
        <v>2.6408388366177888</v>
      </c>
      <c r="F113" s="13">
        <f t="shared" si="8"/>
        <v>6.9740297609887962</v>
      </c>
      <c r="G113" s="5">
        <f t="shared" si="9"/>
        <v>5.8685307480395306E-2</v>
      </c>
    </row>
    <row r="114" spans="1:7" ht="15.75" customHeight="1">
      <c r="A114" s="3">
        <v>21663</v>
      </c>
      <c r="B114" s="4">
        <v>54</v>
      </c>
      <c r="C114">
        <f t="shared" si="5"/>
        <v>44.207748349014658</v>
      </c>
      <c r="D114" s="13">
        <f t="shared" si="6"/>
        <v>9.7922516509853423</v>
      </c>
      <c r="E114" s="13">
        <f t="shared" si="7"/>
        <v>9.7922516509853423</v>
      </c>
      <c r="F114" s="13">
        <f t="shared" si="8"/>
        <v>95.888192396225165</v>
      </c>
      <c r="G114" s="5">
        <f t="shared" si="9"/>
        <v>0.18133799353676561</v>
      </c>
    </row>
    <row r="115" spans="1:7" ht="15.75" customHeight="1">
      <c r="A115" s="3">
        <v>21664</v>
      </c>
      <c r="B115" s="4">
        <v>34</v>
      </c>
      <c r="C115">
        <f t="shared" si="5"/>
        <v>51.062324504704392</v>
      </c>
      <c r="D115" s="13">
        <f t="shared" si="6"/>
        <v>-17.062324504704392</v>
      </c>
      <c r="E115" s="13">
        <f t="shared" si="7"/>
        <v>17.062324504704392</v>
      </c>
      <c r="F115" s="13">
        <f t="shared" si="8"/>
        <v>291.12291750383599</v>
      </c>
      <c r="G115" s="5">
        <f t="shared" si="9"/>
        <v>0.5018330736677763</v>
      </c>
    </row>
    <row r="116" spans="1:7" ht="15.75" customHeight="1">
      <c r="A116" s="3">
        <v>21665</v>
      </c>
      <c r="B116" s="4">
        <v>37</v>
      </c>
      <c r="C116">
        <f t="shared" si="5"/>
        <v>39.118697351411313</v>
      </c>
      <c r="D116" s="13">
        <f t="shared" si="6"/>
        <v>-2.1186973514113134</v>
      </c>
      <c r="E116" s="13">
        <f t="shared" si="7"/>
        <v>2.1186973514113134</v>
      </c>
      <c r="F116" s="13">
        <f t="shared" si="8"/>
        <v>4.4888784668773143</v>
      </c>
      <c r="G116" s="5">
        <f t="shared" si="9"/>
        <v>5.7262090578684144E-2</v>
      </c>
    </row>
    <row r="117" spans="1:7" ht="15.75" customHeight="1">
      <c r="A117" s="3">
        <v>21666</v>
      </c>
      <c r="B117" s="4">
        <v>35</v>
      </c>
      <c r="C117">
        <f t="shared" si="5"/>
        <v>37.635609205423393</v>
      </c>
      <c r="D117" s="13">
        <f t="shared" si="6"/>
        <v>-2.6356092054233926</v>
      </c>
      <c r="E117" s="13">
        <f t="shared" si="7"/>
        <v>2.6356092054233926</v>
      </c>
      <c r="F117" s="13">
        <f t="shared" si="8"/>
        <v>6.9464358837125273</v>
      </c>
      <c r="G117" s="5">
        <f t="shared" si="9"/>
        <v>7.5303120154954079E-2</v>
      </c>
    </row>
    <row r="118" spans="1:7" ht="15.75" customHeight="1">
      <c r="A118" s="3">
        <v>21667</v>
      </c>
      <c r="B118" s="4">
        <v>40</v>
      </c>
      <c r="C118">
        <f t="shared" si="5"/>
        <v>35.790682761627018</v>
      </c>
      <c r="D118" s="13">
        <f t="shared" si="6"/>
        <v>4.2093172383729822</v>
      </c>
      <c r="E118" s="13">
        <f t="shared" si="7"/>
        <v>4.2093172383729822</v>
      </c>
      <c r="F118" s="13">
        <f t="shared" si="8"/>
        <v>17.718351613263948</v>
      </c>
      <c r="G118" s="5">
        <f t="shared" si="9"/>
        <v>0.10523293095932455</v>
      </c>
    </row>
    <row r="119" spans="1:7" ht="15.75" customHeight="1">
      <c r="A119" s="3">
        <v>21668</v>
      </c>
      <c r="B119" s="4">
        <v>42</v>
      </c>
      <c r="C119">
        <f t="shared" si="5"/>
        <v>38.737204828488103</v>
      </c>
      <c r="D119" s="13">
        <f t="shared" si="6"/>
        <v>3.2627951715118968</v>
      </c>
      <c r="E119" s="13">
        <f t="shared" si="7"/>
        <v>3.2627951715118968</v>
      </c>
      <c r="F119" s="13">
        <f t="shared" si="8"/>
        <v>10.645832331241348</v>
      </c>
      <c r="G119" s="5">
        <f t="shared" si="9"/>
        <v>7.7685599321711832E-2</v>
      </c>
    </row>
    <row r="120" spans="1:7" ht="15.75" customHeight="1">
      <c r="A120" s="3">
        <v>21669</v>
      </c>
      <c r="B120" s="4">
        <v>58</v>
      </c>
      <c r="C120">
        <f t="shared" si="5"/>
        <v>41.02116144854643</v>
      </c>
      <c r="D120" s="13">
        <f t="shared" si="6"/>
        <v>16.97883855145357</v>
      </c>
      <c r="E120" s="13">
        <f t="shared" si="7"/>
        <v>16.97883855145357</v>
      </c>
      <c r="F120" s="13">
        <f t="shared" si="8"/>
        <v>288.28095855632597</v>
      </c>
      <c r="G120" s="5">
        <f t="shared" si="9"/>
        <v>0.29273859571471672</v>
      </c>
    </row>
    <row r="121" spans="1:7" ht="15.75" customHeight="1">
      <c r="A121" s="3">
        <v>21670</v>
      </c>
      <c r="B121" s="4">
        <v>51</v>
      </c>
      <c r="C121">
        <f t="shared" si="5"/>
        <v>52.906348434563924</v>
      </c>
      <c r="D121" s="13">
        <f t="shared" si="6"/>
        <v>-1.9063484345639239</v>
      </c>
      <c r="E121" s="13">
        <f t="shared" si="7"/>
        <v>1.9063484345639239</v>
      </c>
      <c r="F121" s="13">
        <f t="shared" si="8"/>
        <v>3.6341643539643234</v>
      </c>
      <c r="G121" s="5">
        <f t="shared" si="9"/>
        <v>3.7379381069880861E-2</v>
      </c>
    </row>
    <row r="122" spans="1:7" ht="15.75" customHeight="1">
      <c r="A122" s="3">
        <v>21671</v>
      </c>
      <c r="B122" s="4">
        <v>32</v>
      </c>
      <c r="C122">
        <f t="shared" si="5"/>
        <v>51.571904530369174</v>
      </c>
      <c r="D122" s="13">
        <f t="shared" si="6"/>
        <v>-19.571904530369174</v>
      </c>
      <c r="E122" s="13">
        <f t="shared" si="7"/>
        <v>19.571904530369174</v>
      </c>
      <c r="F122" s="13">
        <f t="shared" si="8"/>
        <v>383.05944694588538</v>
      </c>
      <c r="G122" s="5">
        <f t="shared" si="9"/>
        <v>0.6116220165740367</v>
      </c>
    </row>
    <row r="123" spans="1:7" ht="15.75" customHeight="1">
      <c r="A123" s="3">
        <v>21672</v>
      </c>
      <c r="B123" s="4">
        <v>35</v>
      </c>
      <c r="C123">
        <f t="shared" si="5"/>
        <v>37.871571359110746</v>
      </c>
      <c r="D123" s="13">
        <f t="shared" si="6"/>
        <v>-2.8715713591107459</v>
      </c>
      <c r="E123" s="13">
        <f t="shared" si="7"/>
        <v>2.8715713591107459</v>
      </c>
      <c r="F123" s="13">
        <f t="shared" si="8"/>
        <v>8.2459220704651361</v>
      </c>
      <c r="G123" s="5">
        <f t="shared" si="9"/>
        <v>8.2044895974592746E-2</v>
      </c>
    </row>
    <row r="124" spans="1:7" ht="15.75" customHeight="1">
      <c r="A124" s="3">
        <v>21673</v>
      </c>
      <c r="B124" s="4">
        <v>38</v>
      </c>
      <c r="C124">
        <f t="shared" si="5"/>
        <v>35.86147140773322</v>
      </c>
      <c r="D124" s="13">
        <f t="shared" si="6"/>
        <v>2.1385285922667805</v>
      </c>
      <c r="E124" s="13">
        <f t="shared" si="7"/>
        <v>2.1385285922667805</v>
      </c>
      <c r="F124" s="13">
        <f t="shared" si="8"/>
        <v>4.573304539942538</v>
      </c>
      <c r="G124" s="5">
        <f t="shared" si="9"/>
        <v>5.6277068217546855E-2</v>
      </c>
    </row>
    <row r="125" spans="1:7" ht="15.75" customHeight="1">
      <c r="A125" s="3">
        <v>21674</v>
      </c>
      <c r="B125" s="4">
        <v>33</v>
      </c>
      <c r="C125">
        <f t="shared" si="5"/>
        <v>37.358441422319963</v>
      </c>
      <c r="D125" s="13">
        <f t="shared" si="6"/>
        <v>-4.358441422319963</v>
      </c>
      <c r="E125" s="13">
        <f t="shared" si="7"/>
        <v>4.358441422319963</v>
      </c>
      <c r="F125" s="13">
        <f t="shared" si="8"/>
        <v>18.996011631794463</v>
      </c>
      <c r="G125" s="5">
        <f t="shared" si="9"/>
        <v>0.13207398249454433</v>
      </c>
    </row>
    <row r="126" spans="1:7" ht="15.75" customHeight="1">
      <c r="A126" s="3">
        <v>21675</v>
      </c>
      <c r="B126" s="4">
        <v>39</v>
      </c>
      <c r="C126">
        <f t="shared" si="5"/>
        <v>34.307532426695985</v>
      </c>
      <c r="D126" s="13">
        <f t="shared" si="6"/>
        <v>4.6924675733040146</v>
      </c>
      <c r="E126" s="13">
        <f t="shared" si="7"/>
        <v>4.6924675733040146</v>
      </c>
      <c r="F126" s="13">
        <f t="shared" si="8"/>
        <v>22.019251926509668</v>
      </c>
      <c r="G126" s="5">
        <f t="shared" si="9"/>
        <v>0.12031968136676961</v>
      </c>
    </row>
    <row r="127" spans="1:7" ht="15.75" customHeight="1">
      <c r="A127" s="3">
        <v>21676</v>
      </c>
      <c r="B127" s="4">
        <v>47</v>
      </c>
      <c r="C127">
        <f t="shared" si="5"/>
        <v>37.592259728008791</v>
      </c>
      <c r="D127" s="13">
        <f t="shared" si="6"/>
        <v>9.4077402719912087</v>
      </c>
      <c r="E127" s="13">
        <f t="shared" si="7"/>
        <v>9.4077402719912087</v>
      </c>
      <c r="F127" s="13">
        <f t="shared" si="8"/>
        <v>88.505577025245216</v>
      </c>
      <c r="G127" s="5">
        <f t="shared" si="9"/>
        <v>0.20016468663811082</v>
      </c>
    </row>
    <row r="128" spans="1:7" ht="15.75" customHeight="1">
      <c r="A128" s="3">
        <v>21677</v>
      </c>
      <c r="B128" s="4">
        <v>38</v>
      </c>
      <c r="C128">
        <f t="shared" si="5"/>
        <v>44.177677918402637</v>
      </c>
      <c r="D128" s="13">
        <f t="shared" si="6"/>
        <v>-6.1776779184026367</v>
      </c>
      <c r="E128" s="13">
        <f t="shared" si="7"/>
        <v>6.1776779184026367</v>
      </c>
      <c r="F128" s="13">
        <f t="shared" si="8"/>
        <v>38.163704463519537</v>
      </c>
      <c r="G128" s="5">
        <f t="shared" si="9"/>
        <v>0.16257047153691148</v>
      </c>
    </row>
    <row r="129" spans="1:7" ht="15.75" customHeight="1">
      <c r="A129" s="3">
        <v>21678</v>
      </c>
      <c r="B129" s="4">
        <v>52</v>
      </c>
      <c r="C129">
        <f t="shared" si="5"/>
        <v>39.853303375520788</v>
      </c>
      <c r="D129" s="13">
        <f t="shared" si="6"/>
        <v>12.146696624479212</v>
      </c>
      <c r="E129" s="13">
        <f t="shared" si="7"/>
        <v>12.146696624479212</v>
      </c>
      <c r="F129" s="13">
        <f t="shared" si="8"/>
        <v>147.54223888713469</v>
      </c>
      <c r="G129" s="5">
        <f t="shared" si="9"/>
        <v>0.2335903197015233</v>
      </c>
    </row>
    <row r="130" spans="1:7" ht="15.75" customHeight="1">
      <c r="A130" s="3">
        <v>21679</v>
      </c>
      <c r="B130" s="4">
        <v>30</v>
      </c>
      <c r="C130">
        <f t="shared" si="5"/>
        <v>48.355991012656233</v>
      </c>
      <c r="D130" s="13">
        <f t="shared" si="6"/>
        <v>-18.355991012656233</v>
      </c>
      <c r="E130" s="13">
        <f t="shared" si="7"/>
        <v>18.355991012656233</v>
      </c>
      <c r="F130" s="13">
        <f t="shared" si="8"/>
        <v>336.94240605671638</v>
      </c>
      <c r="G130" s="5">
        <f t="shared" si="9"/>
        <v>0.61186636708854114</v>
      </c>
    </row>
    <row r="131" spans="1:7" ht="15.75" customHeight="1">
      <c r="A131" s="3">
        <v>21680</v>
      </c>
      <c r="B131" s="4">
        <v>34</v>
      </c>
      <c r="C131">
        <f t="shared" si="5"/>
        <v>35.506797303796873</v>
      </c>
      <c r="D131" s="13">
        <f t="shared" si="6"/>
        <v>-1.5067973037968727</v>
      </c>
      <c r="E131" s="13">
        <f t="shared" si="7"/>
        <v>1.5067973037968727</v>
      </c>
      <c r="F131" s="13">
        <f t="shared" si="8"/>
        <v>2.2704381147295249</v>
      </c>
      <c r="G131" s="5">
        <f t="shared" si="9"/>
        <v>4.4317567758731552E-2</v>
      </c>
    </row>
    <row r="132" spans="1:7" ht="15.75" customHeight="1">
      <c r="A132" s="3">
        <v>21681</v>
      </c>
      <c r="B132" s="4">
        <v>40</v>
      </c>
      <c r="C132">
        <f t="shared" ref="C132:C195" si="10">0.7*B131+0.3*C131</f>
        <v>34.452039191139058</v>
      </c>
      <c r="D132" s="13">
        <f t="shared" ref="D132:D195" si="11">B132-C132</f>
        <v>5.5479608088609424</v>
      </c>
      <c r="E132" s="13">
        <f t="shared" ref="E132:E195" si="12">ABS(D132)</f>
        <v>5.5479608088609424</v>
      </c>
      <c r="F132" s="13">
        <f t="shared" ref="F132:F195" si="13">E132^2</f>
        <v>30.779869136656963</v>
      </c>
      <c r="G132" s="5">
        <f t="shared" ref="G132:G195" si="14">E132/B132</f>
        <v>0.13869902022152356</v>
      </c>
    </row>
    <row r="133" spans="1:7" ht="15.75" customHeight="1">
      <c r="A133" s="3">
        <v>21682</v>
      </c>
      <c r="B133" s="4">
        <v>35</v>
      </c>
      <c r="C133">
        <f t="shared" si="10"/>
        <v>38.335611757341717</v>
      </c>
      <c r="D133" s="13">
        <f t="shared" si="11"/>
        <v>-3.3356117573417166</v>
      </c>
      <c r="E133" s="13">
        <f t="shared" si="12"/>
        <v>3.3356117573417166</v>
      </c>
      <c r="F133" s="13">
        <f t="shared" si="13"/>
        <v>11.126305795716295</v>
      </c>
      <c r="G133" s="5">
        <f t="shared" si="14"/>
        <v>9.5303193066906183E-2</v>
      </c>
    </row>
    <row r="134" spans="1:7" ht="15.75" customHeight="1">
      <c r="A134" s="3">
        <v>21683</v>
      </c>
      <c r="B134" s="4">
        <v>42</v>
      </c>
      <c r="C134">
        <f t="shared" si="10"/>
        <v>36.000683527202511</v>
      </c>
      <c r="D134" s="13">
        <f t="shared" si="11"/>
        <v>5.9993164727974886</v>
      </c>
      <c r="E134" s="13">
        <f t="shared" si="12"/>
        <v>5.9993164727974886</v>
      </c>
      <c r="F134" s="13">
        <f t="shared" si="13"/>
        <v>35.991798140779302</v>
      </c>
      <c r="G134" s="5">
        <f t="shared" si="14"/>
        <v>0.1428408683999402</v>
      </c>
    </row>
    <row r="135" spans="1:7" ht="15.75" customHeight="1">
      <c r="A135" s="3">
        <v>21684</v>
      </c>
      <c r="B135" s="4">
        <v>41</v>
      </c>
      <c r="C135">
        <f t="shared" si="10"/>
        <v>40.200205058160748</v>
      </c>
      <c r="D135" s="13">
        <f t="shared" si="11"/>
        <v>0.79979494183925226</v>
      </c>
      <c r="E135" s="13">
        <f t="shared" si="12"/>
        <v>0.79979494183925226</v>
      </c>
      <c r="F135" s="13">
        <f t="shared" si="13"/>
        <v>0.63967194899165292</v>
      </c>
      <c r="G135" s="5">
        <f t="shared" si="14"/>
        <v>1.9507193703396396E-2</v>
      </c>
    </row>
    <row r="136" spans="1:7" ht="15.75" customHeight="1">
      <c r="A136" s="3">
        <v>21685</v>
      </c>
      <c r="B136" s="4">
        <v>42</v>
      </c>
      <c r="C136">
        <f t="shared" si="10"/>
        <v>40.760061517448221</v>
      </c>
      <c r="D136" s="13">
        <f t="shared" si="11"/>
        <v>1.2399384825517785</v>
      </c>
      <c r="E136" s="13">
        <f t="shared" si="12"/>
        <v>1.2399384825517785</v>
      </c>
      <c r="F136" s="13">
        <f t="shared" si="13"/>
        <v>1.5374474405128071</v>
      </c>
      <c r="G136" s="5">
        <f t="shared" si="14"/>
        <v>2.9522344822661393E-2</v>
      </c>
    </row>
    <row r="137" spans="1:7" ht="15.75" customHeight="1">
      <c r="A137" s="3">
        <v>21686</v>
      </c>
      <c r="B137" s="4">
        <v>38</v>
      </c>
      <c r="C137">
        <f t="shared" si="10"/>
        <v>41.628018455234468</v>
      </c>
      <c r="D137" s="13">
        <f t="shared" si="11"/>
        <v>-3.6280184552344679</v>
      </c>
      <c r="E137" s="13">
        <f t="shared" si="12"/>
        <v>3.6280184552344679</v>
      </c>
      <c r="F137" s="13">
        <f t="shared" si="13"/>
        <v>13.162517911521894</v>
      </c>
      <c r="G137" s="5">
        <f t="shared" si="14"/>
        <v>9.5474169874591258E-2</v>
      </c>
    </row>
    <row r="138" spans="1:7" ht="15.75" customHeight="1">
      <c r="A138" s="3">
        <v>21687</v>
      </c>
      <c r="B138" s="4">
        <v>24</v>
      </c>
      <c r="C138">
        <f t="shared" si="10"/>
        <v>39.088405536570335</v>
      </c>
      <c r="D138" s="13">
        <f t="shared" si="11"/>
        <v>-15.088405536570335</v>
      </c>
      <c r="E138" s="13">
        <f t="shared" si="12"/>
        <v>15.088405536570335</v>
      </c>
      <c r="F138" s="13">
        <f t="shared" si="13"/>
        <v>227.65998163600634</v>
      </c>
      <c r="G138" s="5">
        <f t="shared" si="14"/>
        <v>0.62868356402376391</v>
      </c>
    </row>
    <row r="139" spans="1:7" ht="15.75" customHeight="1">
      <c r="A139" s="3">
        <v>21688</v>
      </c>
      <c r="B139" s="4">
        <v>34</v>
      </c>
      <c r="C139">
        <f t="shared" si="10"/>
        <v>28.526521660971099</v>
      </c>
      <c r="D139" s="13">
        <f t="shared" si="11"/>
        <v>5.473478339028901</v>
      </c>
      <c r="E139" s="13">
        <f t="shared" si="12"/>
        <v>5.473478339028901</v>
      </c>
      <c r="F139" s="13">
        <f t="shared" si="13"/>
        <v>29.958965127818576</v>
      </c>
      <c r="G139" s="5">
        <f t="shared" si="14"/>
        <v>0.1609846570302618</v>
      </c>
    </row>
    <row r="140" spans="1:7" ht="15.75" customHeight="1">
      <c r="A140" s="3">
        <v>21689</v>
      </c>
      <c r="B140" s="4">
        <v>43</v>
      </c>
      <c r="C140">
        <f t="shared" si="10"/>
        <v>32.35795649829133</v>
      </c>
      <c r="D140" s="13">
        <f t="shared" si="11"/>
        <v>10.64204350170867</v>
      </c>
      <c r="E140" s="13">
        <f t="shared" si="12"/>
        <v>10.64204350170867</v>
      </c>
      <c r="F140" s="13">
        <f t="shared" si="13"/>
        <v>113.25308989225974</v>
      </c>
      <c r="G140" s="5">
        <f t="shared" si="14"/>
        <v>0.24748938376066676</v>
      </c>
    </row>
    <row r="141" spans="1:7" ht="15.75" customHeight="1">
      <c r="A141" s="3">
        <v>21690</v>
      </c>
      <c r="B141" s="4">
        <v>36</v>
      </c>
      <c r="C141">
        <f t="shared" si="10"/>
        <v>39.807386949487395</v>
      </c>
      <c r="D141" s="13">
        <f t="shared" si="11"/>
        <v>-3.8073869494873946</v>
      </c>
      <c r="E141" s="13">
        <f t="shared" si="12"/>
        <v>3.8073869494873946</v>
      </c>
      <c r="F141" s="13">
        <f t="shared" si="13"/>
        <v>14.496195383126929</v>
      </c>
      <c r="G141" s="5">
        <f t="shared" si="14"/>
        <v>0.10576074859687207</v>
      </c>
    </row>
    <row r="142" spans="1:7" ht="15.75" customHeight="1">
      <c r="A142" s="3">
        <v>21691</v>
      </c>
      <c r="B142" s="4">
        <v>55</v>
      </c>
      <c r="C142">
        <f t="shared" si="10"/>
        <v>37.142216084846218</v>
      </c>
      <c r="D142" s="13">
        <f t="shared" si="11"/>
        <v>17.857783915153782</v>
      </c>
      <c r="E142" s="13">
        <f t="shared" si="12"/>
        <v>17.857783915153782</v>
      </c>
      <c r="F142" s="13">
        <f t="shared" si="13"/>
        <v>318.90044636032513</v>
      </c>
      <c r="G142" s="5">
        <f t="shared" si="14"/>
        <v>0.32468698027552328</v>
      </c>
    </row>
    <row r="143" spans="1:7" ht="15.75" customHeight="1">
      <c r="A143" s="3">
        <v>21692</v>
      </c>
      <c r="B143" s="4">
        <v>41</v>
      </c>
      <c r="C143">
        <f t="shared" si="10"/>
        <v>49.642664825453863</v>
      </c>
      <c r="D143" s="13">
        <f t="shared" si="11"/>
        <v>-8.6426648254538634</v>
      </c>
      <c r="E143" s="13">
        <f t="shared" si="12"/>
        <v>8.6426648254538634</v>
      </c>
      <c r="F143" s="13">
        <f t="shared" si="13"/>
        <v>74.695655285137462</v>
      </c>
      <c r="G143" s="5">
        <f t="shared" si="14"/>
        <v>0.21079670305985032</v>
      </c>
    </row>
    <row r="144" spans="1:7" ht="15.75" customHeight="1">
      <c r="A144" s="3">
        <v>21693</v>
      </c>
      <c r="B144" s="4">
        <v>45</v>
      </c>
      <c r="C144">
        <f t="shared" si="10"/>
        <v>43.592799447636153</v>
      </c>
      <c r="D144" s="13">
        <f t="shared" si="11"/>
        <v>1.4072005523638467</v>
      </c>
      <c r="E144" s="13">
        <f t="shared" si="12"/>
        <v>1.4072005523638467</v>
      </c>
      <c r="F144" s="13">
        <f t="shared" si="13"/>
        <v>1.9802133945731151</v>
      </c>
      <c r="G144" s="5">
        <f t="shared" si="14"/>
        <v>3.1271123385863256E-2</v>
      </c>
    </row>
    <row r="145" spans="1:7" ht="15.75" customHeight="1">
      <c r="A145" s="3">
        <v>21694</v>
      </c>
      <c r="B145" s="4">
        <v>41</v>
      </c>
      <c r="C145">
        <f t="shared" si="10"/>
        <v>44.577839834290842</v>
      </c>
      <c r="D145" s="13">
        <f t="shared" si="11"/>
        <v>-3.5778398342908417</v>
      </c>
      <c r="E145" s="13">
        <f t="shared" si="12"/>
        <v>3.5778398342908417</v>
      </c>
      <c r="F145" s="13">
        <f t="shared" si="13"/>
        <v>12.800937879838317</v>
      </c>
      <c r="G145" s="5">
        <f t="shared" si="14"/>
        <v>8.7264386202215646E-2</v>
      </c>
    </row>
    <row r="146" spans="1:7" ht="15.75" customHeight="1">
      <c r="A146" s="3">
        <v>21695</v>
      </c>
      <c r="B146" s="4">
        <v>37</v>
      </c>
      <c r="C146">
        <f t="shared" si="10"/>
        <v>42.073351950287254</v>
      </c>
      <c r="D146" s="13">
        <f t="shared" si="11"/>
        <v>-5.0733519502872539</v>
      </c>
      <c r="E146" s="13">
        <f t="shared" si="12"/>
        <v>5.0733519502872539</v>
      </c>
      <c r="F146" s="13">
        <f t="shared" si="13"/>
        <v>25.738900011483484</v>
      </c>
      <c r="G146" s="5">
        <f t="shared" si="14"/>
        <v>0.1371176202780339</v>
      </c>
    </row>
    <row r="147" spans="1:7" ht="15.75" customHeight="1">
      <c r="A147" s="3">
        <v>21696</v>
      </c>
      <c r="B147" s="4">
        <v>43</v>
      </c>
      <c r="C147">
        <f t="shared" si="10"/>
        <v>38.522005585086177</v>
      </c>
      <c r="D147" s="13">
        <f t="shared" si="11"/>
        <v>4.4779944149138231</v>
      </c>
      <c r="E147" s="13">
        <f t="shared" si="12"/>
        <v>4.4779944149138231</v>
      </c>
      <c r="F147" s="13">
        <f t="shared" si="13"/>
        <v>20.052433979999392</v>
      </c>
      <c r="G147" s="5">
        <f t="shared" si="14"/>
        <v>0.10413940499799589</v>
      </c>
    </row>
    <row r="148" spans="1:7" ht="15.75" customHeight="1">
      <c r="A148" s="3">
        <v>21697</v>
      </c>
      <c r="B148" s="4">
        <v>39</v>
      </c>
      <c r="C148">
        <f t="shared" si="10"/>
        <v>41.656601675525849</v>
      </c>
      <c r="D148" s="13">
        <f t="shared" si="11"/>
        <v>-2.6566016755258488</v>
      </c>
      <c r="E148" s="13">
        <f t="shared" si="12"/>
        <v>2.6566016755258488</v>
      </c>
      <c r="F148" s="13">
        <f t="shared" si="13"/>
        <v>7.0575324624067477</v>
      </c>
      <c r="G148" s="5">
        <f t="shared" si="14"/>
        <v>6.8117991680149967E-2</v>
      </c>
    </row>
    <row r="149" spans="1:7" ht="15.75" customHeight="1">
      <c r="A149" s="3">
        <v>21698</v>
      </c>
      <c r="B149" s="4">
        <v>33</v>
      </c>
      <c r="C149">
        <f t="shared" si="10"/>
        <v>39.796980502657753</v>
      </c>
      <c r="D149" s="13">
        <f t="shared" si="11"/>
        <v>-6.7969805026577532</v>
      </c>
      <c r="E149" s="13">
        <f t="shared" si="12"/>
        <v>6.7969805026577532</v>
      </c>
      <c r="F149" s="13">
        <f t="shared" si="13"/>
        <v>46.198943953509641</v>
      </c>
      <c r="G149" s="5">
        <f t="shared" si="14"/>
        <v>0.20596910614114403</v>
      </c>
    </row>
    <row r="150" spans="1:7" ht="15.75" customHeight="1">
      <c r="A150" s="3">
        <v>21699</v>
      </c>
      <c r="B150" s="4">
        <v>43</v>
      </c>
      <c r="C150">
        <f t="shared" si="10"/>
        <v>35.039094150797325</v>
      </c>
      <c r="D150" s="13">
        <f t="shared" si="11"/>
        <v>7.9609058492026747</v>
      </c>
      <c r="E150" s="13">
        <f t="shared" si="12"/>
        <v>7.9609058492026747</v>
      </c>
      <c r="F150" s="13">
        <f t="shared" si="13"/>
        <v>63.376021939869361</v>
      </c>
      <c r="G150" s="5">
        <f t="shared" si="14"/>
        <v>0.18513734533029477</v>
      </c>
    </row>
    <row r="151" spans="1:7" ht="15.75" customHeight="1">
      <c r="A151" s="3">
        <v>21700</v>
      </c>
      <c r="B151" s="4">
        <v>40</v>
      </c>
      <c r="C151">
        <f t="shared" si="10"/>
        <v>40.611728245239192</v>
      </c>
      <c r="D151" s="13">
        <f t="shared" si="11"/>
        <v>-0.61172824523919189</v>
      </c>
      <c r="E151" s="13">
        <f t="shared" si="12"/>
        <v>0.61172824523919189</v>
      </c>
      <c r="F151" s="13">
        <f t="shared" si="13"/>
        <v>0.37421144602342088</v>
      </c>
      <c r="G151" s="5">
        <f t="shared" si="14"/>
        <v>1.5293206130979797E-2</v>
      </c>
    </row>
    <row r="152" spans="1:7" ht="15.75" customHeight="1">
      <c r="A152" s="3">
        <v>21701</v>
      </c>
      <c r="B152" s="4">
        <v>38</v>
      </c>
      <c r="C152">
        <f t="shared" si="10"/>
        <v>40.183518473571759</v>
      </c>
      <c r="D152" s="13">
        <f t="shared" si="11"/>
        <v>-2.183518473571759</v>
      </c>
      <c r="E152" s="13">
        <f t="shared" si="12"/>
        <v>2.183518473571759</v>
      </c>
      <c r="F152" s="13">
        <f t="shared" si="13"/>
        <v>4.7677529244291446</v>
      </c>
      <c r="G152" s="5">
        <f t="shared" si="14"/>
        <v>5.746101246241471E-2</v>
      </c>
    </row>
    <row r="153" spans="1:7" ht="15.75" customHeight="1">
      <c r="A153" s="3">
        <v>21702</v>
      </c>
      <c r="B153" s="4">
        <v>45</v>
      </c>
      <c r="C153">
        <f t="shared" si="10"/>
        <v>38.655055542071523</v>
      </c>
      <c r="D153" s="13">
        <f t="shared" si="11"/>
        <v>6.3449444579284773</v>
      </c>
      <c r="E153" s="13">
        <f t="shared" si="12"/>
        <v>6.3449444579284773</v>
      </c>
      <c r="F153" s="13">
        <f t="shared" si="13"/>
        <v>40.258320174197301</v>
      </c>
      <c r="G153" s="5">
        <f t="shared" si="14"/>
        <v>0.14099876573174394</v>
      </c>
    </row>
    <row r="154" spans="1:7" ht="15.75" customHeight="1">
      <c r="A154" s="3">
        <v>21703</v>
      </c>
      <c r="B154" s="4">
        <v>46</v>
      </c>
      <c r="C154">
        <f t="shared" si="10"/>
        <v>43.096516662621454</v>
      </c>
      <c r="D154" s="13">
        <f t="shared" si="11"/>
        <v>2.903483337378546</v>
      </c>
      <c r="E154" s="13">
        <f t="shared" si="12"/>
        <v>2.903483337378546</v>
      </c>
      <c r="F154" s="13">
        <f t="shared" si="13"/>
        <v>8.4302154904348594</v>
      </c>
      <c r="G154" s="5">
        <f t="shared" si="14"/>
        <v>6.3119202986490125E-2</v>
      </c>
    </row>
    <row r="155" spans="1:7" ht="15.75" customHeight="1">
      <c r="A155" s="3">
        <v>21704</v>
      </c>
      <c r="B155" s="4">
        <v>34</v>
      </c>
      <c r="C155">
        <f t="shared" si="10"/>
        <v>45.128954998786433</v>
      </c>
      <c r="D155" s="13">
        <f t="shared" si="11"/>
        <v>-11.128954998786433</v>
      </c>
      <c r="E155" s="13">
        <f t="shared" si="12"/>
        <v>11.128954998786433</v>
      </c>
      <c r="F155" s="13">
        <f t="shared" si="13"/>
        <v>123.85363936501355</v>
      </c>
      <c r="G155" s="5">
        <f t="shared" si="14"/>
        <v>0.32732220584665983</v>
      </c>
    </row>
    <row r="156" spans="1:7" ht="15.75" customHeight="1">
      <c r="A156" s="3">
        <v>21705</v>
      </c>
      <c r="B156" s="4">
        <v>35</v>
      </c>
      <c r="C156">
        <f t="shared" si="10"/>
        <v>37.338686499635926</v>
      </c>
      <c r="D156" s="13">
        <f t="shared" si="11"/>
        <v>-2.3386864996359265</v>
      </c>
      <c r="E156" s="13">
        <f t="shared" si="12"/>
        <v>2.3386864996359265</v>
      </c>
      <c r="F156" s="13">
        <f t="shared" si="13"/>
        <v>5.4694545435793422</v>
      </c>
      <c r="G156" s="5">
        <f t="shared" si="14"/>
        <v>6.6819614275312189E-2</v>
      </c>
    </row>
    <row r="157" spans="1:7" ht="15.75" customHeight="1">
      <c r="A157" s="3">
        <v>21706</v>
      </c>
      <c r="B157" s="4">
        <v>48</v>
      </c>
      <c r="C157">
        <f t="shared" si="10"/>
        <v>35.701605949890777</v>
      </c>
      <c r="D157" s="13">
        <f t="shared" si="11"/>
        <v>12.298394050109223</v>
      </c>
      <c r="E157" s="13">
        <f t="shared" si="12"/>
        <v>12.298394050109223</v>
      </c>
      <c r="F157" s="13">
        <f t="shared" si="13"/>
        <v>151.25049621176194</v>
      </c>
      <c r="G157" s="5">
        <f t="shared" si="14"/>
        <v>0.25621654271060884</v>
      </c>
    </row>
    <row r="158" spans="1:7" ht="15.75" customHeight="1">
      <c r="A158" s="3">
        <v>21707</v>
      </c>
      <c r="B158" s="4">
        <v>51</v>
      </c>
      <c r="C158">
        <f t="shared" si="10"/>
        <v>44.310481784967223</v>
      </c>
      <c r="D158" s="13">
        <f t="shared" si="11"/>
        <v>6.689518215032777</v>
      </c>
      <c r="E158" s="13">
        <f t="shared" si="12"/>
        <v>6.689518215032777</v>
      </c>
      <c r="F158" s="13">
        <f t="shared" si="13"/>
        <v>44.749653949255311</v>
      </c>
      <c r="G158" s="5">
        <f t="shared" si="14"/>
        <v>0.13116702382417209</v>
      </c>
    </row>
    <row r="159" spans="1:7" ht="15.75" customHeight="1">
      <c r="A159" s="3">
        <v>21708</v>
      </c>
      <c r="B159" s="4">
        <v>36</v>
      </c>
      <c r="C159">
        <f t="shared" si="10"/>
        <v>48.99314453549016</v>
      </c>
      <c r="D159" s="13">
        <f t="shared" si="11"/>
        <v>-12.99314453549016</v>
      </c>
      <c r="E159" s="13">
        <f t="shared" si="12"/>
        <v>12.99314453549016</v>
      </c>
      <c r="F159" s="13">
        <f t="shared" si="13"/>
        <v>168.82180492013779</v>
      </c>
      <c r="G159" s="5">
        <f t="shared" si="14"/>
        <v>0.36092068154139334</v>
      </c>
    </row>
    <row r="160" spans="1:7" ht="15.75" customHeight="1">
      <c r="A160" s="3">
        <v>21709</v>
      </c>
      <c r="B160" s="4">
        <v>33</v>
      </c>
      <c r="C160">
        <f t="shared" si="10"/>
        <v>39.897943360647048</v>
      </c>
      <c r="D160" s="13">
        <f t="shared" si="11"/>
        <v>-6.8979433606470479</v>
      </c>
      <c r="E160" s="13">
        <f t="shared" si="12"/>
        <v>6.8979433606470479</v>
      </c>
      <c r="F160" s="13">
        <f t="shared" si="13"/>
        <v>47.581622606694687</v>
      </c>
      <c r="G160" s="5">
        <f t="shared" si="14"/>
        <v>0.20902858668627419</v>
      </c>
    </row>
    <row r="161" spans="1:7" ht="15.75" customHeight="1">
      <c r="A161" s="3">
        <v>21710</v>
      </c>
      <c r="B161" s="4">
        <v>46</v>
      </c>
      <c r="C161">
        <f t="shared" si="10"/>
        <v>35.069383008194109</v>
      </c>
      <c r="D161" s="13">
        <f t="shared" si="11"/>
        <v>10.930616991805891</v>
      </c>
      <c r="E161" s="13">
        <f t="shared" si="12"/>
        <v>10.930616991805891</v>
      </c>
      <c r="F161" s="13">
        <f t="shared" si="13"/>
        <v>119.47838782155567</v>
      </c>
      <c r="G161" s="5">
        <f t="shared" si="14"/>
        <v>0.23762210851751939</v>
      </c>
    </row>
    <row r="162" spans="1:7" ht="15.75" customHeight="1">
      <c r="A162" s="3">
        <v>21711</v>
      </c>
      <c r="B162" s="4">
        <v>42</v>
      </c>
      <c r="C162">
        <f t="shared" si="10"/>
        <v>42.72081490245823</v>
      </c>
      <c r="D162" s="13">
        <f t="shared" si="11"/>
        <v>-0.72081490245822977</v>
      </c>
      <c r="E162" s="13">
        <f t="shared" si="12"/>
        <v>0.72081490245822977</v>
      </c>
      <c r="F162" s="13">
        <f t="shared" si="13"/>
        <v>0.5195741236058673</v>
      </c>
      <c r="G162" s="5">
        <f t="shared" si="14"/>
        <v>1.7162259582338805E-2</v>
      </c>
    </row>
    <row r="163" spans="1:7" ht="15.75" customHeight="1">
      <c r="A163" s="3">
        <v>21712</v>
      </c>
      <c r="B163" s="4">
        <v>48</v>
      </c>
      <c r="C163">
        <f t="shared" si="10"/>
        <v>42.216244470737465</v>
      </c>
      <c r="D163" s="13">
        <f t="shared" si="11"/>
        <v>5.7837555292625353</v>
      </c>
      <c r="E163" s="13">
        <f t="shared" si="12"/>
        <v>5.7837555292625353</v>
      </c>
      <c r="F163" s="13">
        <f t="shared" si="13"/>
        <v>33.451828022274952</v>
      </c>
      <c r="G163" s="5">
        <f t="shared" si="14"/>
        <v>0.12049490685963615</v>
      </c>
    </row>
    <row r="164" spans="1:7" ht="15.75" customHeight="1">
      <c r="A164" s="3">
        <v>21713</v>
      </c>
      <c r="B164" s="4">
        <v>34</v>
      </c>
      <c r="C164">
        <f t="shared" si="10"/>
        <v>46.264873341221232</v>
      </c>
      <c r="D164" s="13">
        <f t="shared" si="11"/>
        <v>-12.264873341221232</v>
      </c>
      <c r="E164" s="13">
        <f t="shared" si="12"/>
        <v>12.264873341221232</v>
      </c>
      <c r="F164" s="13">
        <f t="shared" si="13"/>
        <v>150.42711807619926</v>
      </c>
      <c r="G164" s="5">
        <f t="shared" si="14"/>
        <v>0.36073156885944802</v>
      </c>
    </row>
    <row r="165" spans="1:7" ht="15.75" customHeight="1">
      <c r="A165" s="3">
        <v>21714</v>
      </c>
      <c r="B165" s="4">
        <v>41</v>
      </c>
      <c r="C165">
        <f t="shared" si="10"/>
        <v>37.679462002366364</v>
      </c>
      <c r="D165" s="13">
        <f t="shared" si="11"/>
        <v>3.320537997633636</v>
      </c>
      <c r="E165" s="13">
        <f t="shared" si="12"/>
        <v>3.320537997633636</v>
      </c>
      <c r="F165" s="13">
        <f t="shared" si="13"/>
        <v>11.025972593728797</v>
      </c>
      <c r="G165" s="5">
        <f t="shared" si="14"/>
        <v>8.0988731649600881E-2</v>
      </c>
    </row>
    <row r="166" spans="1:7" ht="15.75" customHeight="1">
      <c r="A166" s="3">
        <v>21715</v>
      </c>
      <c r="B166" s="4">
        <v>35</v>
      </c>
      <c r="C166">
        <f t="shared" si="10"/>
        <v>40.003838600709912</v>
      </c>
      <c r="D166" s="13">
        <f t="shared" si="11"/>
        <v>-5.003838600709912</v>
      </c>
      <c r="E166" s="13">
        <f t="shared" si="12"/>
        <v>5.003838600709912</v>
      </c>
      <c r="F166" s="13">
        <f t="shared" si="13"/>
        <v>25.038400741954529</v>
      </c>
      <c r="G166" s="5">
        <f t="shared" si="14"/>
        <v>0.14296681716314033</v>
      </c>
    </row>
    <row r="167" spans="1:7" ht="15.75" customHeight="1">
      <c r="A167" s="3">
        <v>21716</v>
      </c>
      <c r="B167" s="4">
        <v>40</v>
      </c>
      <c r="C167">
        <f t="shared" si="10"/>
        <v>36.501151580212976</v>
      </c>
      <c r="D167" s="13">
        <f t="shared" si="11"/>
        <v>3.4988484197870235</v>
      </c>
      <c r="E167" s="13">
        <f t="shared" si="12"/>
        <v>3.4988484197870235</v>
      </c>
      <c r="F167" s="13">
        <f t="shared" si="13"/>
        <v>12.241940264646152</v>
      </c>
      <c r="G167" s="5">
        <f t="shared" si="14"/>
        <v>8.7471210494675586E-2</v>
      </c>
    </row>
    <row r="168" spans="1:7" ht="15.75" customHeight="1">
      <c r="A168" s="3">
        <v>21717</v>
      </c>
      <c r="B168" s="4">
        <v>34</v>
      </c>
      <c r="C168">
        <f t="shared" si="10"/>
        <v>38.950345474063894</v>
      </c>
      <c r="D168" s="13">
        <f t="shared" si="11"/>
        <v>-4.9503454740638944</v>
      </c>
      <c r="E168" s="13">
        <f t="shared" si="12"/>
        <v>4.9503454740638944</v>
      </c>
      <c r="F168" s="13">
        <f t="shared" si="13"/>
        <v>24.505920312584884</v>
      </c>
      <c r="G168" s="5">
        <f t="shared" si="14"/>
        <v>0.14559839629599688</v>
      </c>
    </row>
    <row r="169" spans="1:7" ht="15.75" customHeight="1">
      <c r="A169" s="3">
        <v>21718</v>
      </c>
      <c r="B169" s="4">
        <v>30</v>
      </c>
      <c r="C169">
        <f t="shared" si="10"/>
        <v>35.485103642219165</v>
      </c>
      <c r="D169" s="13">
        <f t="shared" si="11"/>
        <v>-5.4851036422191655</v>
      </c>
      <c r="E169" s="13">
        <f t="shared" si="12"/>
        <v>5.4851036422191655</v>
      </c>
      <c r="F169" s="13">
        <f t="shared" si="13"/>
        <v>30.086361965885956</v>
      </c>
      <c r="G169" s="5">
        <f t="shared" si="14"/>
        <v>0.18283678807397219</v>
      </c>
    </row>
    <row r="170" spans="1:7" ht="15.75" customHeight="1">
      <c r="A170" s="3">
        <v>21719</v>
      </c>
      <c r="B170" s="4">
        <v>36</v>
      </c>
      <c r="C170">
        <f t="shared" si="10"/>
        <v>31.645531092665749</v>
      </c>
      <c r="D170" s="13">
        <f t="shared" si="11"/>
        <v>4.3544689073342511</v>
      </c>
      <c r="E170" s="13">
        <f t="shared" si="12"/>
        <v>4.3544689073342511</v>
      </c>
      <c r="F170" s="13">
        <f t="shared" si="13"/>
        <v>18.961399464940747</v>
      </c>
      <c r="G170" s="5">
        <f t="shared" si="14"/>
        <v>0.12095746964817364</v>
      </c>
    </row>
    <row r="171" spans="1:7" ht="15.75" customHeight="1">
      <c r="A171" s="3">
        <v>21720</v>
      </c>
      <c r="B171" s="4">
        <v>40</v>
      </c>
      <c r="C171">
        <f t="shared" si="10"/>
        <v>34.693659327799722</v>
      </c>
      <c r="D171" s="13">
        <f t="shared" si="11"/>
        <v>5.3063406722002782</v>
      </c>
      <c r="E171" s="13">
        <f t="shared" si="12"/>
        <v>5.3063406722002782</v>
      </c>
      <c r="F171" s="13">
        <f t="shared" si="13"/>
        <v>28.1572513294469</v>
      </c>
      <c r="G171" s="5">
        <f t="shared" si="14"/>
        <v>0.13265851680500695</v>
      </c>
    </row>
    <row r="172" spans="1:7" ht="15.75" customHeight="1">
      <c r="A172" s="3">
        <v>21721</v>
      </c>
      <c r="B172" s="4">
        <v>39</v>
      </c>
      <c r="C172">
        <f t="shared" si="10"/>
        <v>38.408097798339917</v>
      </c>
      <c r="D172" s="13">
        <f t="shared" si="11"/>
        <v>0.59190220166008345</v>
      </c>
      <c r="E172" s="13">
        <f t="shared" si="12"/>
        <v>0.59190220166008345</v>
      </c>
      <c r="F172" s="13">
        <f t="shared" si="13"/>
        <v>0.35034821633005409</v>
      </c>
      <c r="G172" s="5">
        <f t="shared" si="14"/>
        <v>1.517697952974573E-2</v>
      </c>
    </row>
    <row r="173" spans="1:7" ht="15.75" customHeight="1">
      <c r="A173" s="3">
        <v>21722</v>
      </c>
      <c r="B173" s="4">
        <v>45</v>
      </c>
      <c r="C173">
        <f t="shared" si="10"/>
        <v>38.822429339501973</v>
      </c>
      <c r="D173" s="13">
        <f t="shared" si="11"/>
        <v>6.1775706604980272</v>
      </c>
      <c r="E173" s="13">
        <f t="shared" si="12"/>
        <v>6.1775706604980272</v>
      </c>
      <c r="F173" s="13">
        <f t="shared" si="13"/>
        <v>38.162379265446035</v>
      </c>
      <c r="G173" s="5">
        <f t="shared" si="14"/>
        <v>0.13727934801106728</v>
      </c>
    </row>
    <row r="174" spans="1:7" ht="15.75" customHeight="1">
      <c r="A174" s="3">
        <v>21723</v>
      </c>
      <c r="B174" s="4">
        <v>38</v>
      </c>
      <c r="C174">
        <f t="shared" si="10"/>
        <v>43.146728801850585</v>
      </c>
      <c r="D174" s="13">
        <f t="shared" si="11"/>
        <v>-5.1467288018505855</v>
      </c>
      <c r="E174" s="13">
        <f t="shared" si="12"/>
        <v>5.1467288018505855</v>
      </c>
      <c r="F174" s="13">
        <f t="shared" si="13"/>
        <v>26.488817359798364</v>
      </c>
      <c r="G174" s="5">
        <f t="shared" si="14"/>
        <v>0.13544023162764698</v>
      </c>
    </row>
    <row r="175" spans="1:7" ht="15.75" customHeight="1">
      <c r="A175" s="3">
        <v>21724</v>
      </c>
      <c r="B175" s="4">
        <v>47</v>
      </c>
      <c r="C175">
        <f t="shared" si="10"/>
        <v>39.544018640555173</v>
      </c>
      <c r="D175" s="13">
        <f t="shared" si="11"/>
        <v>7.4559813594448272</v>
      </c>
      <c r="E175" s="13">
        <f t="shared" si="12"/>
        <v>7.4559813594448272</v>
      </c>
      <c r="F175" s="13">
        <f t="shared" si="13"/>
        <v>55.591658032388736</v>
      </c>
      <c r="G175" s="5">
        <f t="shared" si="14"/>
        <v>0.15863790126478355</v>
      </c>
    </row>
    <row r="176" spans="1:7" ht="15.75" customHeight="1">
      <c r="A176" s="3">
        <v>21725</v>
      </c>
      <c r="B176" s="4">
        <v>33</v>
      </c>
      <c r="C176">
        <f t="shared" si="10"/>
        <v>44.76320559216655</v>
      </c>
      <c r="D176" s="13">
        <f t="shared" si="11"/>
        <v>-11.76320559216655</v>
      </c>
      <c r="E176" s="13">
        <f t="shared" si="12"/>
        <v>11.76320559216655</v>
      </c>
      <c r="F176" s="13">
        <f t="shared" si="13"/>
        <v>138.37300580357839</v>
      </c>
      <c r="G176" s="5">
        <f t="shared" si="14"/>
        <v>0.3564607755201985</v>
      </c>
    </row>
    <row r="177" spans="1:7" ht="15.75" customHeight="1">
      <c r="A177" s="3">
        <v>21726</v>
      </c>
      <c r="B177" s="4">
        <v>30</v>
      </c>
      <c r="C177">
        <f t="shared" si="10"/>
        <v>36.52896167764996</v>
      </c>
      <c r="D177" s="13">
        <f t="shared" si="11"/>
        <v>-6.5289616776499599</v>
      </c>
      <c r="E177" s="13">
        <f t="shared" si="12"/>
        <v>6.5289616776499599</v>
      </c>
      <c r="F177" s="13">
        <f t="shared" si="13"/>
        <v>42.627340588221777</v>
      </c>
      <c r="G177" s="5">
        <f t="shared" si="14"/>
        <v>0.21763205592166532</v>
      </c>
    </row>
    <row r="178" spans="1:7" ht="15.75" customHeight="1">
      <c r="A178" s="3">
        <v>21727</v>
      </c>
      <c r="B178" s="4">
        <v>42</v>
      </c>
      <c r="C178">
        <f t="shared" si="10"/>
        <v>31.958688503294987</v>
      </c>
      <c r="D178" s="13">
        <f t="shared" si="11"/>
        <v>10.041311496705013</v>
      </c>
      <c r="E178" s="13">
        <f t="shared" si="12"/>
        <v>10.041311496705013</v>
      </c>
      <c r="F178" s="13">
        <f t="shared" si="13"/>
        <v>100.82793657386027</v>
      </c>
      <c r="G178" s="5">
        <f t="shared" si="14"/>
        <v>0.23907884515964317</v>
      </c>
    </row>
    <row r="179" spans="1:7" ht="15.75" customHeight="1">
      <c r="A179" s="3">
        <v>21728</v>
      </c>
      <c r="B179" s="4">
        <v>43</v>
      </c>
      <c r="C179">
        <f t="shared" si="10"/>
        <v>38.987606550988495</v>
      </c>
      <c r="D179" s="13">
        <f t="shared" si="11"/>
        <v>4.0123934490115047</v>
      </c>
      <c r="E179" s="13">
        <f t="shared" si="12"/>
        <v>4.0123934490115047</v>
      </c>
      <c r="F179" s="13">
        <f t="shared" si="13"/>
        <v>16.099301189670438</v>
      </c>
      <c r="G179" s="5">
        <f t="shared" si="14"/>
        <v>9.3311475558407089E-2</v>
      </c>
    </row>
    <row r="180" spans="1:7" ht="15.75" customHeight="1">
      <c r="A180" s="3">
        <v>21729</v>
      </c>
      <c r="B180" s="4">
        <v>41</v>
      </c>
      <c r="C180">
        <f t="shared" si="10"/>
        <v>41.796281965296544</v>
      </c>
      <c r="D180" s="13">
        <f t="shared" si="11"/>
        <v>-0.7962819652965436</v>
      </c>
      <c r="E180" s="13">
        <f t="shared" si="12"/>
        <v>0.7962819652965436</v>
      </c>
      <c r="F180" s="13">
        <f t="shared" si="13"/>
        <v>0.63406496825652592</v>
      </c>
      <c r="G180" s="5">
        <f t="shared" si="14"/>
        <v>1.9421511348696185E-2</v>
      </c>
    </row>
    <row r="181" spans="1:7" ht="15.75" customHeight="1">
      <c r="A181" s="3">
        <v>21730</v>
      </c>
      <c r="B181" s="4">
        <v>41</v>
      </c>
      <c r="C181">
        <f t="shared" si="10"/>
        <v>41.238884589588963</v>
      </c>
      <c r="D181" s="13">
        <f t="shared" si="11"/>
        <v>-0.23888458958896308</v>
      </c>
      <c r="E181" s="13">
        <f t="shared" si="12"/>
        <v>0.23888458958896308</v>
      </c>
      <c r="F181" s="13">
        <f t="shared" si="13"/>
        <v>5.706584714308733E-2</v>
      </c>
      <c r="G181" s="5">
        <f t="shared" si="14"/>
        <v>5.8264534046088556E-3</v>
      </c>
    </row>
    <row r="182" spans="1:7" ht="15.75" customHeight="1">
      <c r="A182" s="3">
        <v>21731</v>
      </c>
      <c r="B182" s="4">
        <v>59</v>
      </c>
      <c r="C182">
        <f t="shared" si="10"/>
        <v>41.071665376876688</v>
      </c>
      <c r="D182" s="13">
        <f t="shared" si="11"/>
        <v>17.928334623123312</v>
      </c>
      <c r="E182" s="13">
        <f t="shared" si="12"/>
        <v>17.928334623123312</v>
      </c>
      <c r="F182" s="13">
        <f t="shared" si="13"/>
        <v>321.42518235868215</v>
      </c>
      <c r="G182" s="5">
        <f t="shared" si="14"/>
        <v>0.30387007835802227</v>
      </c>
    </row>
    <row r="183" spans="1:7" ht="15.75" customHeight="1">
      <c r="A183" s="3">
        <v>21732</v>
      </c>
      <c r="B183" s="4">
        <v>43</v>
      </c>
      <c r="C183">
        <f t="shared" si="10"/>
        <v>53.621499613063001</v>
      </c>
      <c r="D183" s="13">
        <f t="shared" si="11"/>
        <v>-10.621499613063001</v>
      </c>
      <c r="E183" s="13">
        <f t="shared" si="12"/>
        <v>10.621499613063001</v>
      </c>
      <c r="F183" s="13">
        <f t="shared" si="13"/>
        <v>112.81625403029749</v>
      </c>
      <c r="G183" s="5">
        <f t="shared" si="14"/>
        <v>0.24701161890844189</v>
      </c>
    </row>
    <row r="184" spans="1:7" ht="15.75" customHeight="1">
      <c r="A184" s="3">
        <v>21733</v>
      </c>
      <c r="B184" s="4">
        <v>45</v>
      </c>
      <c r="C184">
        <f t="shared" si="10"/>
        <v>46.186449883918897</v>
      </c>
      <c r="D184" s="13">
        <f t="shared" si="11"/>
        <v>-1.1864498839188968</v>
      </c>
      <c r="E184" s="13">
        <f t="shared" si="12"/>
        <v>1.1864498839188968</v>
      </c>
      <c r="F184" s="13">
        <f t="shared" si="13"/>
        <v>1.4076633270511638</v>
      </c>
      <c r="G184" s="5">
        <f t="shared" si="14"/>
        <v>2.6365552975975485E-2</v>
      </c>
    </row>
    <row r="185" spans="1:7" ht="15.75" customHeight="1">
      <c r="A185" s="3">
        <v>21734</v>
      </c>
      <c r="B185" s="4">
        <v>38</v>
      </c>
      <c r="C185">
        <f t="shared" si="10"/>
        <v>45.355934965175663</v>
      </c>
      <c r="D185" s="13">
        <f t="shared" si="11"/>
        <v>-7.3559349651756634</v>
      </c>
      <c r="E185" s="13">
        <f t="shared" si="12"/>
        <v>7.3559349651756634</v>
      </c>
      <c r="F185" s="13">
        <f t="shared" si="13"/>
        <v>54.109779211893887</v>
      </c>
      <c r="G185" s="5">
        <f t="shared" si="14"/>
        <v>0.19357723592567536</v>
      </c>
    </row>
    <row r="186" spans="1:7" ht="15.75" customHeight="1">
      <c r="A186" s="3">
        <v>21735</v>
      </c>
      <c r="B186" s="4">
        <v>37</v>
      </c>
      <c r="C186">
        <f t="shared" si="10"/>
        <v>40.206780489552699</v>
      </c>
      <c r="D186" s="13">
        <f t="shared" si="11"/>
        <v>-3.206780489552699</v>
      </c>
      <c r="E186" s="13">
        <f t="shared" si="12"/>
        <v>3.206780489552699</v>
      </c>
      <c r="F186" s="13">
        <f t="shared" si="13"/>
        <v>10.283441108175849</v>
      </c>
      <c r="G186" s="5">
        <f t="shared" si="14"/>
        <v>8.6669742960883756E-2</v>
      </c>
    </row>
    <row r="187" spans="1:7" ht="15.75" customHeight="1">
      <c r="A187" s="3">
        <v>21736</v>
      </c>
      <c r="B187" s="4">
        <v>45</v>
      </c>
      <c r="C187">
        <f t="shared" si="10"/>
        <v>37.962034146865804</v>
      </c>
      <c r="D187" s="13">
        <f t="shared" si="11"/>
        <v>7.037965853134196</v>
      </c>
      <c r="E187" s="13">
        <f t="shared" si="12"/>
        <v>7.037965853134196</v>
      </c>
      <c r="F187" s="13">
        <f t="shared" si="13"/>
        <v>49.532963349882948</v>
      </c>
      <c r="G187" s="5">
        <f t="shared" si="14"/>
        <v>0.1563992411807599</v>
      </c>
    </row>
    <row r="188" spans="1:7" ht="15.75" customHeight="1">
      <c r="A188" s="3">
        <v>21737</v>
      </c>
      <c r="B188" s="4">
        <v>42</v>
      </c>
      <c r="C188">
        <f t="shared" si="10"/>
        <v>42.888610244059734</v>
      </c>
      <c r="D188" s="13">
        <f t="shared" si="11"/>
        <v>-0.8886102440597341</v>
      </c>
      <c r="E188" s="13">
        <f t="shared" si="12"/>
        <v>0.8886102440597341</v>
      </c>
      <c r="F188" s="13">
        <f t="shared" si="13"/>
        <v>0.78962816584790019</v>
      </c>
      <c r="G188" s="5">
        <f t="shared" si="14"/>
        <v>2.1157386763327003E-2</v>
      </c>
    </row>
    <row r="189" spans="1:7" ht="15.75" customHeight="1">
      <c r="A189" s="3">
        <v>21738</v>
      </c>
      <c r="B189" s="4">
        <v>57</v>
      </c>
      <c r="C189">
        <f t="shared" si="10"/>
        <v>42.266583073217916</v>
      </c>
      <c r="D189" s="13">
        <f t="shared" si="11"/>
        <v>14.733416926782084</v>
      </c>
      <c r="E189" s="13">
        <f t="shared" si="12"/>
        <v>14.733416926782084</v>
      </c>
      <c r="F189" s="13">
        <f t="shared" si="13"/>
        <v>217.07357433838882</v>
      </c>
      <c r="G189" s="5">
        <f t="shared" si="14"/>
        <v>0.25848099871547514</v>
      </c>
    </row>
    <row r="190" spans="1:7" ht="15.75" customHeight="1">
      <c r="A190" s="3">
        <v>21739</v>
      </c>
      <c r="B190" s="4">
        <v>46</v>
      </c>
      <c r="C190">
        <f t="shared" si="10"/>
        <v>52.579974921965373</v>
      </c>
      <c r="D190" s="13">
        <f t="shared" si="11"/>
        <v>-6.5799749219653734</v>
      </c>
      <c r="E190" s="13">
        <f t="shared" si="12"/>
        <v>6.5799749219653734</v>
      </c>
      <c r="F190" s="13">
        <f t="shared" si="13"/>
        <v>43.296069973693221</v>
      </c>
      <c r="G190" s="5">
        <f t="shared" si="14"/>
        <v>0.14304293308620378</v>
      </c>
    </row>
    <row r="191" spans="1:7" ht="15.75" customHeight="1">
      <c r="A191" s="3">
        <v>21740</v>
      </c>
      <c r="B191" s="4">
        <v>51</v>
      </c>
      <c r="C191">
        <f t="shared" si="10"/>
        <v>47.973992476589608</v>
      </c>
      <c r="D191" s="13">
        <f t="shared" si="11"/>
        <v>3.0260075234103923</v>
      </c>
      <c r="E191" s="13">
        <f t="shared" si="12"/>
        <v>3.0260075234103923</v>
      </c>
      <c r="F191" s="13">
        <f t="shared" si="13"/>
        <v>9.1567215317362951</v>
      </c>
      <c r="G191" s="5">
        <f t="shared" si="14"/>
        <v>5.9333480851184159E-2</v>
      </c>
    </row>
    <row r="192" spans="1:7" ht="15.75" customHeight="1">
      <c r="A192" s="3">
        <v>21741</v>
      </c>
      <c r="B192" s="4">
        <v>41</v>
      </c>
      <c r="C192">
        <f t="shared" si="10"/>
        <v>50.092197742976879</v>
      </c>
      <c r="D192" s="13">
        <f t="shared" si="11"/>
        <v>-9.0921977429768788</v>
      </c>
      <c r="E192" s="13">
        <f t="shared" si="12"/>
        <v>9.0921977429768788</v>
      </c>
      <c r="F192" s="13">
        <f t="shared" si="13"/>
        <v>82.668059797393852</v>
      </c>
      <c r="G192" s="5">
        <f t="shared" si="14"/>
        <v>0.22176092056041169</v>
      </c>
    </row>
    <row r="193" spans="1:7" ht="15.75" customHeight="1">
      <c r="A193" s="3">
        <v>21742</v>
      </c>
      <c r="B193" s="4">
        <v>47</v>
      </c>
      <c r="C193">
        <f t="shared" si="10"/>
        <v>43.727659322893061</v>
      </c>
      <c r="D193" s="13">
        <f t="shared" si="11"/>
        <v>3.2723406771069392</v>
      </c>
      <c r="E193" s="13">
        <f t="shared" si="12"/>
        <v>3.2723406771069392</v>
      </c>
      <c r="F193" s="13">
        <f t="shared" si="13"/>
        <v>10.708213507048701</v>
      </c>
      <c r="G193" s="5">
        <f t="shared" si="14"/>
        <v>6.9624269725679561E-2</v>
      </c>
    </row>
    <row r="194" spans="1:7" ht="15.75" customHeight="1">
      <c r="A194" s="3">
        <v>21743</v>
      </c>
      <c r="B194" s="4">
        <v>26</v>
      </c>
      <c r="C194">
        <f t="shared" si="10"/>
        <v>46.018297796867913</v>
      </c>
      <c r="D194" s="13">
        <f t="shared" si="11"/>
        <v>-20.018297796867913</v>
      </c>
      <c r="E194" s="13">
        <f t="shared" si="12"/>
        <v>20.018297796867913</v>
      </c>
      <c r="F194" s="13">
        <f t="shared" si="13"/>
        <v>400.7322466840867</v>
      </c>
      <c r="G194" s="5">
        <f t="shared" si="14"/>
        <v>0.76993453064876582</v>
      </c>
    </row>
    <row r="195" spans="1:7" ht="15.75" customHeight="1">
      <c r="A195" s="3">
        <v>21744</v>
      </c>
      <c r="B195" s="4">
        <v>35</v>
      </c>
      <c r="C195">
        <f t="shared" si="10"/>
        <v>32.005489339060375</v>
      </c>
      <c r="D195" s="13">
        <f t="shared" si="11"/>
        <v>2.9945106609396248</v>
      </c>
      <c r="E195" s="13">
        <f t="shared" si="12"/>
        <v>2.9945106609396248</v>
      </c>
      <c r="F195" s="13">
        <f t="shared" si="13"/>
        <v>8.9670940984810681</v>
      </c>
      <c r="G195" s="5">
        <f t="shared" si="14"/>
        <v>8.5557447455417851E-2</v>
      </c>
    </row>
    <row r="196" spans="1:7" ht="15.75" customHeight="1">
      <c r="A196" s="3">
        <v>21745</v>
      </c>
      <c r="B196" s="4">
        <v>44</v>
      </c>
      <c r="C196">
        <f t="shared" ref="C196:C259" si="15">0.7*B195+0.3*C195</f>
        <v>34.101646801718111</v>
      </c>
      <c r="D196" s="13">
        <f t="shared" ref="D196:D259" si="16">B196-C196</f>
        <v>9.8983531982818889</v>
      </c>
      <c r="E196" s="13">
        <f t="shared" ref="E196:E259" si="17">ABS(D196)</f>
        <v>9.8983531982818889</v>
      </c>
      <c r="F196" s="13">
        <f t="shared" ref="F196:F259" si="18">E196^2</f>
        <v>97.977396037937297</v>
      </c>
      <c r="G196" s="5">
        <f t="shared" ref="G196:G259" si="19">E196/B196</f>
        <v>0.22496257268822475</v>
      </c>
    </row>
    <row r="197" spans="1:7" ht="15.75" customHeight="1">
      <c r="A197" s="3">
        <v>21746</v>
      </c>
      <c r="B197" s="4">
        <v>41</v>
      </c>
      <c r="C197">
        <f t="shared" si="15"/>
        <v>41.030494040515428</v>
      </c>
      <c r="D197" s="13">
        <f t="shared" si="16"/>
        <v>-3.0494040515428367E-2</v>
      </c>
      <c r="E197" s="13">
        <f t="shared" si="17"/>
        <v>3.0494040515428367E-2</v>
      </c>
      <c r="F197" s="13">
        <f t="shared" si="18"/>
        <v>9.2988650695658673E-4</v>
      </c>
      <c r="G197" s="5">
        <f t="shared" si="19"/>
        <v>7.4375708574215529E-4</v>
      </c>
    </row>
    <row r="198" spans="1:7" ht="15.75" customHeight="1">
      <c r="A198" s="3">
        <v>21747</v>
      </c>
      <c r="B198" s="4">
        <v>42</v>
      </c>
      <c r="C198">
        <f t="shared" si="15"/>
        <v>41.009148212154628</v>
      </c>
      <c r="D198" s="13">
        <f t="shared" si="16"/>
        <v>0.9908517878453722</v>
      </c>
      <c r="E198" s="13">
        <f t="shared" si="17"/>
        <v>0.9908517878453722</v>
      </c>
      <c r="F198" s="13">
        <f t="shared" si="18"/>
        <v>0.98178726547637052</v>
      </c>
      <c r="G198" s="5">
        <f t="shared" si="19"/>
        <v>2.3591709234413623E-2</v>
      </c>
    </row>
    <row r="199" spans="1:7" ht="15.75" customHeight="1">
      <c r="A199" s="3">
        <v>21748</v>
      </c>
      <c r="B199" s="4">
        <v>36</v>
      </c>
      <c r="C199">
        <f t="shared" si="15"/>
        <v>41.702744463646383</v>
      </c>
      <c r="D199" s="13">
        <f t="shared" si="16"/>
        <v>-5.7027444636463827</v>
      </c>
      <c r="E199" s="13">
        <f t="shared" si="17"/>
        <v>5.7027444636463827</v>
      </c>
      <c r="F199" s="13">
        <f t="shared" si="18"/>
        <v>32.521294417649472</v>
      </c>
      <c r="G199" s="5">
        <f t="shared" si="19"/>
        <v>0.15840956843462173</v>
      </c>
    </row>
    <row r="200" spans="1:7" ht="15.75" customHeight="1">
      <c r="A200" s="3">
        <v>21749</v>
      </c>
      <c r="B200" s="4">
        <v>45</v>
      </c>
      <c r="C200">
        <f t="shared" si="15"/>
        <v>37.710823339093913</v>
      </c>
      <c r="D200" s="13">
        <f t="shared" si="16"/>
        <v>7.2891766609060866</v>
      </c>
      <c r="E200" s="13">
        <f t="shared" si="17"/>
        <v>7.2891766609060866</v>
      </c>
      <c r="F200" s="13">
        <f t="shared" si="18"/>
        <v>53.13209639389801</v>
      </c>
      <c r="G200" s="5">
        <f t="shared" si="19"/>
        <v>0.16198170357569081</v>
      </c>
    </row>
    <row r="201" spans="1:7" ht="15.75" customHeight="1">
      <c r="A201" s="3">
        <v>21750</v>
      </c>
      <c r="B201" s="4">
        <v>45</v>
      </c>
      <c r="C201">
        <f t="shared" si="15"/>
        <v>42.813247001728172</v>
      </c>
      <c r="D201" s="13">
        <f t="shared" si="16"/>
        <v>2.1867529982718281</v>
      </c>
      <c r="E201" s="13">
        <f t="shared" si="17"/>
        <v>2.1867529982718281</v>
      </c>
      <c r="F201" s="13">
        <f t="shared" si="18"/>
        <v>4.7818886754508299</v>
      </c>
      <c r="G201" s="5">
        <f t="shared" si="19"/>
        <v>4.8594511072707292E-2</v>
      </c>
    </row>
    <row r="202" spans="1:7" ht="15.75" customHeight="1">
      <c r="A202" s="3">
        <v>21751</v>
      </c>
      <c r="B202" s="4">
        <v>45</v>
      </c>
      <c r="C202">
        <f t="shared" si="15"/>
        <v>44.343974100518452</v>
      </c>
      <c r="D202" s="13">
        <f t="shared" si="16"/>
        <v>0.65602589948154844</v>
      </c>
      <c r="E202" s="13">
        <f t="shared" si="17"/>
        <v>0.65602589948154844</v>
      </c>
      <c r="F202" s="13">
        <f t="shared" si="18"/>
        <v>0.4303699807905747</v>
      </c>
      <c r="G202" s="5">
        <f t="shared" si="19"/>
        <v>1.4578353321812187E-2</v>
      </c>
    </row>
    <row r="203" spans="1:7" ht="15.75" customHeight="1">
      <c r="A203" s="3">
        <v>21752</v>
      </c>
      <c r="B203" s="4">
        <v>47</v>
      </c>
      <c r="C203">
        <f t="shared" si="15"/>
        <v>44.803192230155531</v>
      </c>
      <c r="D203" s="13">
        <f t="shared" si="16"/>
        <v>2.1968077698444688</v>
      </c>
      <c r="E203" s="13">
        <f t="shared" si="17"/>
        <v>2.1968077698444688</v>
      </c>
      <c r="F203" s="13">
        <f t="shared" si="18"/>
        <v>4.8259643776490284</v>
      </c>
      <c r="G203" s="5">
        <f t="shared" si="19"/>
        <v>4.6740590847754657E-2</v>
      </c>
    </row>
    <row r="204" spans="1:7" ht="15.75" customHeight="1">
      <c r="A204" s="3">
        <v>21753</v>
      </c>
      <c r="B204" s="4">
        <v>38</v>
      </c>
      <c r="C204">
        <f t="shared" si="15"/>
        <v>46.340957669046659</v>
      </c>
      <c r="D204" s="13">
        <f t="shared" si="16"/>
        <v>-8.3409576690466594</v>
      </c>
      <c r="E204" s="13">
        <f t="shared" si="17"/>
        <v>8.3409576690466594</v>
      </c>
      <c r="F204" s="13">
        <f t="shared" si="18"/>
        <v>69.571574836828276</v>
      </c>
      <c r="G204" s="5">
        <f t="shared" si="19"/>
        <v>0.21949888602754367</v>
      </c>
    </row>
    <row r="205" spans="1:7" ht="15.75" customHeight="1">
      <c r="A205" s="3">
        <v>21754</v>
      </c>
      <c r="B205" s="4">
        <v>42</v>
      </c>
      <c r="C205">
        <f t="shared" si="15"/>
        <v>40.502287300713995</v>
      </c>
      <c r="D205" s="13">
        <f t="shared" si="16"/>
        <v>1.497712699286005</v>
      </c>
      <c r="E205" s="13">
        <f t="shared" si="17"/>
        <v>1.497712699286005</v>
      </c>
      <c r="F205" s="13">
        <f t="shared" si="18"/>
        <v>2.2431433296025713</v>
      </c>
      <c r="G205" s="5">
        <f t="shared" si="19"/>
        <v>3.5659826173476308E-2</v>
      </c>
    </row>
    <row r="206" spans="1:7" ht="15.75" customHeight="1">
      <c r="A206" s="3">
        <v>21755</v>
      </c>
      <c r="B206" s="4">
        <v>35</v>
      </c>
      <c r="C206">
        <f t="shared" si="15"/>
        <v>41.550686190214194</v>
      </c>
      <c r="D206" s="13">
        <f t="shared" si="16"/>
        <v>-6.5506861902141935</v>
      </c>
      <c r="E206" s="13">
        <f t="shared" si="17"/>
        <v>6.5506861902141935</v>
      </c>
      <c r="F206" s="13">
        <f t="shared" si="18"/>
        <v>42.911489562662943</v>
      </c>
      <c r="G206" s="5">
        <f t="shared" si="19"/>
        <v>0.1871624625775484</v>
      </c>
    </row>
    <row r="207" spans="1:7" ht="15.75" customHeight="1">
      <c r="A207" s="3">
        <v>21756</v>
      </c>
      <c r="B207" s="4">
        <v>36</v>
      </c>
      <c r="C207">
        <f t="shared" si="15"/>
        <v>36.965205857064255</v>
      </c>
      <c r="D207" s="13">
        <f t="shared" si="16"/>
        <v>-0.96520585706425521</v>
      </c>
      <c r="E207" s="13">
        <f t="shared" si="17"/>
        <v>0.96520585706425521</v>
      </c>
      <c r="F207" s="13">
        <f t="shared" si="18"/>
        <v>0.93162234651114351</v>
      </c>
      <c r="G207" s="5">
        <f t="shared" si="19"/>
        <v>2.6811273807340424E-2</v>
      </c>
    </row>
    <row r="208" spans="1:7" ht="15.75" customHeight="1">
      <c r="A208" s="3">
        <v>21757</v>
      </c>
      <c r="B208" s="4">
        <v>39</v>
      </c>
      <c r="C208">
        <f t="shared" si="15"/>
        <v>36.289561757119273</v>
      </c>
      <c r="D208" s="13">
        <f t="shared" si="16"/>
        <v>2.710438242880727</v>
      </c>
      <c r="E208" s="13">
        <f t="shared" si="17"/>
        <v>2.710438242880727</v>
      </c>
      <c r="F208" s="13">
        <f t="shared" si="18"/>
        <v>7.3464754684703628</v>
      </c>
      <c r="G208" s="5">
        <f t="shared" si="19"/>
        <v>6.9498416484121209E-2</v>
      </c>
    </row>
    <row r="209" spans="1:7" ht="15.75" customHeight="1">
      <c r="A209" s="3">
        <v>21758</v>
      </c>
      <c r="B209" s="4">
        <v>45</v>
      </c>
      <c r="C209">
        <f t="shared" si="15"/>
        <v>38.186868527135779</v>
      </c>
      <c r="D209" s="13">
        <f t="shared" si="16"/>
        <v>6.8131314728642209</v>
      </c>
      <c r="E209" s="13">
        <f t="shared" si="17"/>
        <v>6.8131314728642209</v>
      </c>
      <c r="F209" s="13">
        <f t="shared" si="18"/>
        <v>46.418760466532987</v>
      </c>
      <c r="G209" s="5">
        <f t="shared" si="19"/>
        <v>0.15140292161920491</v>
      </c>
    </row>
    <row r="210" spans="1:7" ht="15.75" customHeight="1">
      <c r="A210" s="3">
        <v>21759</v>
      </c>
      <c r="B210" s="4">
        <v>43</v>
      </c>
      <c r="C210">
        <f t="shared" si="15"/>
        <v>42.956060558140727</v>
      </c>
      <c r="D210" s="13">
        <f t="shared" si="16"/>
        <v>4.3939441859272677E-2</v>
      </c>
      <c r="E210" s="13">
        <f t="shared" si="17"/>
        <v>4.3939441859272677E-2</v>
      </c>
      <c r="F210" s="13">
        <f t="shared" si="18"/>
        <v>1.930674550904404E-3</v>
      </c>
      <c r="G210" s="5">
        <f t="shared" si="19"/>
        <v>1.0218474850993645E-3</v>
      </c>
    </row>
    <row r="211" spans="1:7" ht="15.75" customHeight="1">
      <c r="A211" s="3">
        <v>21760</v>
      </c>
      <c r="B211" s="4">
        <v>47</v>
      </c>
      <c r="C211">
        <f t="shared" si="15"/>
        <v>42.986818167442216</v>
      </c>
      <c r="D211" s="13">
        <f t="shared" si="16"/>
        <v>4.0131818325577839</v>
      </c>
      <c r="E211" s="13">
        <f t="shared" si="17"/>
        <v>4.0131818325577839</v>
      </c>
      <c r="F211" s="13">
        <f t="shared" si="18"/>
        <v>16.105628421171854</v>
      </c>
      <c r="G211" s="5">
        <f t="shared" si="19"/>
        <v>8.5386847501229449E-2</v>
      </c>
    </row>
    <row r="212" spans="1:7" ht="15.75" customHeight="1">
      <c r="A212" s="3">
        <v>21761</v>
      </c>
      <c r="B212" s="4">
        <v>36</v>
      </c>
      <c r="C212">
        <f t="shared" si="15"/>
        <v>45.796045450232661</v>
      </c>
      <c r="D212" s="13">
        <f t="shared" si="16"/>
        <v>-9.7960454502326613</v>
      </c>
      <c r="E212" s="13">
        <f t="shared" si="17"/>
        <v>9.7960454502326613</v>
      </c>
      <c r="F212" s="13">
        <f t="shared" si="18"/>
        <v>95.962506463024027</v>
      </c>
      <c r="G212" s="5">
        <f t="shared" si="19"/>
        <v>0.2721123736175739</v>
      </c>
    </row>
    <row r="213" spans="1:7" ht="15.75" customHeight="1">
      <c r="A213" s="3">
        <v>21762</v>
      </c>
      <c r="B213" s="4">
        <v>41</v>
      </c>
      <c r="C213">
        <f t="shared" si="15"/>
        <v>38.938813635069799</v>
      </c>
      <c r="D213" s="13">
        <f t="shared" si="16"/>
        <v>2.0611863649302009</v>
      </c>
      <c r="E213" s="13">
        <f t="shared" si="17"/>
        <v>2.0611863649302009</v>
      </c>
      <c r="F213" s="13">
        <f t="shared" si="18"/>
        <v>4.2484892309741751</v>
      </c>
      <c r="G213" s="5">
        <f t="shared" si="19"/>
        <v>5.0272838169029291E-2</v>
      </c>
    </row>
    <row r="214" spans="1:7" ht="15.75" customHeight="1">
      <c r="A214" s="3">
        <v>21763</v>
      </c>
      <c r="B214" s="4">
        <v>50</v>
      </c>
      <c r="C214">
        <f t="shared" si="15"/>
        <v>40.381644090520936</v>
      </c>
      <c r="D214" s="13">
        <f t="shared" si="16"/>
        <v>9.6183559094790638</v>
      </c>
      <c r="E214" s="13">
        <f t="shared" si="17"/>
        <v>9.6183559094790638</v>
      </c>
      <c r="F214" s="13">
        <f t="shared" si="18"/>
        <v>92.512770401410833</v>
      </c>
      <c r="G214" s="5">
        <f t="shared" si="19"/>
        <v>0.19236711818958127</v>
      </c>
    </row>
    <row r="215" spans="1:7" ht="15.75" customHeight="1">
      <c r="A215" s="3">
        <v>21764</v>
      </c>
      <c r="B215" s="4">
        <v>39</v>
      </c>
      <c r="C215">
        <f t="shared" si="15"/>
        <v>47.114493227156281</v>
      </c>
      <c r="D215" s="13">
        <f t="shared" si="16"/>
        <v>-8.1144932271562809</v>
      </c>
      <c r="E215" s="13">
        <f t="shared" si="17"/>
        <v>8.1144932271562809</v>
      </c>
      <c r="F215" s="13">
        <f t="shared" si="18"/>
        <v>65.845000333565153</v>
      </c>
      <c r="G215" s="5">
        <f t="shared" si="19"/>
        <v>0.2080639289014431</v>
      </c>
    </row>
    <row r="216" spans="1:7" ht="15.75" customHeight="1">
      <c r="A216" s="3">
        <v>21765</v>
      </c>
      <c r="B216" s="4">
        <v>41</v>
      </c>
      <c r="C216">
        <f t="shared" si="15"/>
        <v>41.434347968146881</v>
      </c>
      <c r="D216" s="13">
        <f t="shared" si="16"/>
        <v>-0.4343479681468807</v>
      </c>
      <c r="E216" s="13">
        <f t="shared" si="17"/>
        <v>0.4343479681468807</v>
      </c>
      <c r="F216" s="13">
        <f t="shared" si="18"/>
        <v>0.1886581574333237</v>
      </c>
      <c r="G216" s="5">
        <f t="shared" si="19"/>
        <v>1.0593852881631236E-2</v>
      </c>
    </row>
    <row r="217" spans="1:7" ht="15.75" customHeight="1">
      <c r="A217" s="3">
        <v>21766</v>
      </c>
      <c r="B217" s="4">
        <v>46</v>
      </c>
      <c r="C217">
        <f t="shared" si="15"/>
        <v>41.130304390444067</v>
      </c>
      <c r="D217" s="13">
        <f t="shared" si="16"/>
        <v>4.8696956095559329</v>
      </c>
      <c r="E217" s="13">
        <f t="shared" si="17"/>
        <v>4.8696956095559329</v>
      </c>
      <c r="F217" s="13">
        <f t="shared" si="18"/>
        <v>23.713935329728329</v>
      </c>
      <c r="G217" s="5">
        <f t="shared" si="19"/>
        <v>0.10586294803382464</v>
      </c>
    </row>
    <row r="218" spans="1:7" ht="15.75" customHeight="1">
      <c r="A218" s="3">
        <v>21767</v>
      </c>
      <c r="B218" s="4">
        <v>64</v>
      </c>
      <c r="C218">
        <f t="shared" si="15"/>
        <v>44.539091317133213</v>
      </c>
      <c r="D218" s="13">
        <f t="shared" si="16"/>
        <v>19.460908682866787</v>
      </c>
      <c r="E218" s="13">
        <f t="shared" si="17"/>
        <v>19.460908682866787</v>
      </c>
      <c r="F218" s="13">
        <f t="shared" si="18"/>
        <v>378.7269667628799</v>
      </c>
      <c r="G218" s="5">
        <f t="shared" si="19"/>
        <v>0.30407669816979355</v>
      </c>
    </row>
    <row r="219" spans="1:7" ht="15.75" customHeight="1">
      <c r="A219" s="3">
        <v>21768</v>
      </c>
      <c r="B219" s="4">
        <v>45</v>
      </c>
      <c r="C219">
        <f t="shared" si="15"/>
        <v>58.161727395139962</v>
      </c>
      <c r="D219" s="13">
        <f t="shared" si="16"/>
        <v>-13.161727395139962</v>
      </c>
      <c r="E219" s="13">
        <f t="shared" si="17"/>
        <v>13.161727395139962</v>
      </c>
      <c r="F219" s="13">
        <f t="shared" si="18"/>
        <v>173.23106802397777</v>
      </c>
      <c r="G219" s="5">
        <f t="shared" si="19"/>
        <v>0.29248283100311029</v>
      </c>
    </row>
    <row r="220" spans="1:7" ht="15.75" customHeight="1">
      <c r="A220" s="3">
        <v>21769</v>
      </c>
      <c r="B220" s="4">
        <v>34</v>
      </c>
      <c r="C220">
        <f t="shared" si="15"/>
        <v>48.948518218541984</v>
      </c>
      <c r="D220" s="13">
        <f t="shared" si="16"/>
        <v>-14.948518218541984</v>
      </c>
      <c r="E220" s="13">
        <f t="shared" si="17"/>
        <v>14.948518218541984</v>
      </c>
      <c r="F220" s="13">
        <f t="shared" si="18"/>
        <v>223.45819693008161</v>
      </c>
      <c r="G220" s="5">
        <f t="shared" si="19"/>
        <v>0.43966230054535249</v>
      </c>
    </row>
    <row r="221" spans="1:7" ht="15.75" customHeight="1">
      <c r="A221" s="3">
        <v>21770</v>
      </c>
      <c r="B221" s="4">
        <v>38</v>
      </c>
      <c r="C221">
        <f t="shared" si="15"/>
        <v>38.484555465562593</v>
      </c>
      <c r="D221" s="13">
        <f t="shared" si="16"/>
        <v>-0.48455546556259321</v>
      </c>
      <c r="E221" s="13">
        <f t="shared" si="17"/>
        <v>0.48455546556259321</v>
      </c>
      <c r="F221" s="13">
        <f t="shared" si="18"/>
        <v>0.23479399920658145</v>
      </c>
      <c r="G221" s="5">
        <f t="shared" si="19"/>
        <v>1.2751459620068243E-2</v>
      </c>
    </row>
    <row r="222" spans="1:7" ht="15.75" customHeight="1">
      <c r="A222" s="3">
        <v>21771</v>
      </c>
      <c r="B222" s="4">
        <v>44</v>
      </c>
      <c r="C222">
        <f t="shared" si="15"/>
        <v>38.145366639668779</v>
      </c>
      <c r="D222" s="13">
        <f t="shared" si="16"/>
        <v>5.8546333603312206</v>
      </c>
      <c r="E222" s="13">
        <f t="shared" si="17"/>
        <v>5.8546333603312206</v>
      </c>
      <c r="F222" s="13">
        <f t="shared" si="18"/>
        <v>34.276731783903237</v>
      </c>
      <c r="G222" s="5">
        <f t="shared" si="19"/>
        <v>0.13305984909843682</v>
      </c>
    </row>
    <row r="223" spans="1:7" ht="15.75" customHeight="1">
      <c r="A223" s="3">
        <v>21772</v>
      </c>
      <c r="B223" s="4">
        <v>48</v>
      </c>
      <c r="C223">
        <f t="shared" si="15"/>
        <v>42.243609991900627</v>
      </c>
      <c r="D223" s="13">
        <f t="shared" si="16"/>
        <v>5.7563900080993733</v>
      </c>
      <c r="E223" s="13">
        <f t="shared" si="17"/>
        <v>5.7563900080993733</v>
      </c>
      <c r="F223" s="13">
        <f t="shared" si="18"/>
        <v>33.136025925346303</v>
      </c>
      <c r="G223" s="5">
        <f t="shared" si="19"/>
        <v>0.11992479183540361</v>
      </c>
    </row>
    <row r="224" spans="1:7" ht="15.75" customHeight="1">
      <c r="A224" s="3">
        <v>21773</v>
      </c>
      <c r="B224" s="4">
        <v>46</v>
      </c>
      <c r="C224">
        <f t="shared" si="15"/>
        <v>46.273082997570185</v>
      </c>
      <c r="D224" s="13">
        <f t="shared" si="16"/>
        <v>-0.27308299757018517</v>
      </c>
      <c r="E224" s="13">
        <f t="shared" si="17"/>
        <v>0.27308299757018517</v>
      </c>
      <c r="F224" s="13">
        <f t="shared" si="18"/>
        <v>7.457432356191776E-2</v>
      </c>
      <c r="G224" s="5">
        <f t="shared" si="19"/>
        <v>5.9365869036996774E-3</v>
      </c>
    </row>
    <row r="225" spans="1:7" ht="15.75" customHeight="1">
      <c r="A225" s="3">
        <v>21774</v>
      </c>
      <c r="B225" s="4">
        <v>44</v>
      </c>
      <c r="C225">
        <f t="shared" si="15"/>
        <v>46.081924899271051</v>
      </c>
      <c r="D225" s="13">
        <f t="shared" si="16"/>
        <v>-2.0819248992710513</v>
      </c>
      <c r="E225" s="13">
        <f t="shared" si="17"/>
        <v>2.0819248992710513</v>
      </c>
      <c r="F225" s="13">
        <f t="shared" si="18"/>
        <v>4.3344112862047774</v>
      </c>
      <c r="G225" s="5">
        <f t="shared" si="19"/>
        <v>4.7316474983432985E-2</v>
      </c>
    </row>
    <row r="226" spans="1:7" ht="15.75" customHeight="1">
      <c r="A226" s="3">
        <v>21775</v>
      </c>
      <c r="B226" s="4">
        <v>37</v>
      </c>
      <c r="C226">
        <f t="shared" si="15"/>
        <v>44.624577469781315</v>
      </c>
      <c r="D226" s="13">
        <f t="shared" si="16"/>
        <v>-7.6245774697813147</v>
      </c>
      <c r="E226" s="13">
        <f t="shared" si="17"/>
        <v>7.6245774697813147</v>
      </c>
      <c r="F226" s="13">
        <f t="shared" si="18"/>
        <v>58.134181592696834</v>
      </c>
      <c r="G226" s="5">
        <f t="shared" si="19"/>
        <v>0.20606966134544094</v>
      </c>
    </row>
    <row r="227" spans="1:7" ht="15.75" customHeight="1">
      <c r="A227" s="3">
        <v>21776</v>
      </c>
      <c r="B227" s="4">
        <v>39</v>
      </c>
      <c r="C227">
        <f t="shared" si="15"/>
        <v>39.287373240934393</v>
      </c>
      <c r="D227" s="13">
        <f t="shared" si="16"/>
        <v>-0.28737324093439298</v>
      </c>
      <c r="E227" s="13">
        <f t="shared" si="17"/>
        <v>0.28737324093439298</v>
      </c>
      <c r="F227" s="13">
        <f t="shared" si="18"/>
        <v>8.2583379605136675E-2</v>
      </c>
      <c r="G227" s="5">
        <f t="shared" si="19"/>
        <v>7.3685446393434101E-3</v>
      </c>
    </row>
    <row r="228" spans="1:7" ht="15.75" customHeight="1">
      <c r="A228" s="3">
        <v>21777</v>
      </c>
      <c r="B228" s="4">
        <v>44</v>
      </c>
      <c r="C228">
        <f t="shared" si="15"/>
        <v>39.086211972280317</v>
      </c>
      <c r="D228" s="13">
        <f t="shared" si="16"/>
        <v>4.9137880277196828</v>
      </c>
      <c r="E228" s="13">
        <f t="shared" si="17"/>
        <v>4.9137880277196828</v>
      </c>
      <c r="F228" s="13">
        <f t="shared" si="18"/>
        <v>24.145312781361291</v>
      </c>
      <c r="G228" s="5">
        <f t="shared" si="19"/>
        <v>0.11167700062999279</v>
      </c>
    </row>
    <row r="229" spans="1:7" ht="15.75" customHeight="1">
      <c r="A229" s="3">
        <v>21778</v>
      </c>
      <c r="B229" s="4">
        <v>45</v>
      </c>
      <c r="C229">
        <f t="shared" si="15"/>
        <v>42.525863591684093</v>
      </c>
      <c r="D229" s="13">
        <f t="shared" si="16"/>
        <v>2.474136408315907</v>
      </c>
      <c r="E229" s="13">
        <f t="shared" si="17"/>
        <v>2.474136408315907</v>
      </c>
      <c r="F229" s="13">
        <f t="shared" si="18"/>
        <v>6.1213509669543367</v>
      </c>
      <c r="G229" s="5">
        <f t="shared" si="19"/>
        <v>5.4980809073686819E-2</v>
      </c>
    </row>
    <row r="230" spans="1:7" ht="15.75" customHeight="1">
      <c r="A230" s="3">
        <v>21779</v>
      </c>
      <c r="B230" s="4">
        <v>33</v>
      </c>
      <c r="C230">
        <f t="shared" si="15"/>
        <v>44.257759077505227</v>
      </c>
      <c r="D230" s="13">
        <f t="shared" si="16"/>
        <v>-11.257759077505227</v>
      </c>
      <c r="E230" s="13">
        <f t="shared" si="17"/>
        <v>11.257759077505227</v>
      </c>
      <c r="F230" s="13">
        <f t="shared" si="18"/>
        <v>126.73713944715135</v>
      </c>
      <c r="G230" s="5">
        <f t="shared" si="19"/>
        <v>0.34114421446985538</v>
      </c>
    </row>
    <row r="231" spans="1:7" ht="15.75" customHeight="1">
      <c r="A231" s="3">
        <v>21780</v>
      </c>
      <c r="B231" s="4">
        <v>44</v>
      </c>
      <c r="C231">
        <f t="shared" si="15"/>
        <v>36.377327723251568</v>
      </c>
      <c r="D231" s="13">
        <f t="shared" si="16"/>
        <v>7.6226722767484318</v>
      </c>
      <c r="E231" s="13">
        <f t="shared" si="17"/>
        <v>7.6226722767484318</v>
      </c>
      <c r="F231" s="13">
        <f t="shared" si="18"/>
        <v>58.105132638709122</v>
      </c>
      <c r="G231" s="5">
        <f t="shared" si="19"/>
        <v>0.17324255174428255</v>
      </c>
    </row>
    <row r="232" spans="1:7" ht="15.75" customHeight="1">
      <c r="A232" s="3">
        <v>21781</v>
      </c>
      <c r="B232" s="4">
        <v>38</v>
      </c>
      <c r="C232">
        <f t="shared" si="15"/>
        <v>41.713198316975465</v>
      </c>
      <c r="D232" s="13">
        <f t="shared" si="16"/>
        <v>-3.7131983169754648</v>
      </c>
      <c r="E232" s="13">
        <f t="shared" si="17"/>
        <v>3.7131983169754648</v>
      </c>
      <c r="F232" s="13">
        <f t="shared" si="18"/>
        <v>13.787841741189425</v>
      </c>
      <c r="G232" s="5">
        <f t="shared" si="19"/>
        <v>9.7715745183564864E-2</v>
      </c>
    </row>
    <row r="233" spans="1:7" ht="15.75" customHeight="1">
      <c r="A233" s="3">
        <v>21782</v>
      </c>
      <c r="B233" s="4">
        <v>46</v>
      </c>
      <c r="C233">
        <f t="shared" si="15"/>
        <v>39.113959495092637</v>
      </c>
      <c r="D233" s="13">
        <f t="shared" si="16"/>
        <v>6.8860405049073634</v>
      </c>
      <c r="E233" s="13">
        <f t="shared" si="17"/>
        <v>6.8860405049073634</v>
      </c>
      <c r="F233" s="13">
        <f t="shared" si="18"/>
        <v>47.417553835224858</v>
      </c>
      <c r="G233" s="5">
        <f t="shared" si="19"/>
        <v>0.14969653271537747</v>
      </c>
    </row>
    <row r="234" spans="1:7" ht="15.75" customHeight="1">
      <c r="A234" s="3">
        <v>21783</v>
      </c>
      <c r="B234" s="4">
        <v>46</v>
      </c>
      <c r="C234">
        <f t="shared" si="15"/>
        <v>43.934187848527785</v>
      </c>
      <c r="D234" s="13">
        <f t="shared" si="16"/>
        <v>2.0658121514722154</v>
      </c>
      <c r="E234" s="13">
        <f t="shared" si="17"/>
        <v>2.0658121514722154</v>
      </c>
      <c r="F234" s="13">
        <f t="shared" si="18"/>
        <v>4.2675798451702631</v>
      </c>
      <c r="G234" s="5">
        <f t="shared" si="19"/>
        <v>4.4908959814613382E-2</v>
      </c>
    </row>
    <row r="235" spans="1:7" ht="15.75" customHeight="1">
      <c r="A235" s="3">
        <v>21784</v>
      </c>
      <c r="B235" s="4">
        <v>40</v>
      </c>
      <c r="C235">
        <f t="shared" si="15"/>
        <v>45.380256354558327</v>
      </c>
      <c r="D235" s="13">
        <f t="shared" si="16"/>
        <v>-5.3802563545583268</v>
      </c>
      <c r="E235" s="13">
        <f t="shared" si="17"/>
        <v>5.3802563545583268</v>
      </c>
      <c r="F235" s="13">
        <f t="shared" si="18"/>
        <v>28.947158440765257</v>
      </c>
      <c r="G235" s="5">
        <f t="shared" si="19"/>
        <v>0.13450640886395818</v>
      </c>
    </row>
    <row r="236" spans="1:7" ht="15.75" customHeight="1">
      <c r="A236" s="3">
        <v>21785</v>
      </c>
      <c r="B236" s="4">
        <v>39</v>
      </c>
      <c r="C236">
        <f t="shared" si="15"/>
        <v>41.614076906367501</v>
      </c>
      <c r="D236" s="13">
        <f t="shared" si="16"/>
        <v>-2.6140769063675009</v>
      </c>
      <c r="E236" s="13">
        <f t="shared" si="17"/>
        <v>2.6140769063675009</v>
      </c>
      <c r="F236" s="13">
        <f t="shared" si="18"/>
        <v>6.8333980724038836</v>
      </c>
      <c r="G236" s="5">
        <f t="shared" si="19"/>
        <v>6.702761298378207E-2</v>
      </c>
    </row>
    <row r="237" spans="1:7" ht="15.75" customHeight="1">
      <c r="A237" s="3">
        <v>21786</v>
      </c>
      <c r="B237" s="4">
        <v>44</v>
      </c>
      <c r="C237">
        <f t="shared" si="15"/>
        <v>39.784223071910247</v>
      </c>
      <c r="D237" s="13">
        <f t="shared" si="16"/>
        <v>4.2157769280897526</v>
      </c>
      <c r="E237" s="13">
        <f t="shared" si="17"/>
        <v>4.2157769280897526</v>
      </c>
      <c r="F237" s="13">
        <f t="shared" si="18"/>
        <v>17.772775107413871</v>
      </c>
      <c r="G237" s="5">
        <f t="shared" si="19"/>
        <v>9.5813112002039832E-2</v>
      </c>
    </row>
    <row r="238" spans="1:7" ht="15.75" customHeight="1">
      <c r="A238" s="3">
        <v>21787</v>
      </c>
      <c r="B238" s="4">
        <v>48</v>
      </c>
      <c r="C238">
        <f t="shared" si="15"/>
        <v>42.735266921573071</v>
      </c>
      <c r="D238" s="13">
        <f t="shared" si="16"/>
        <v>5.2647330784269286</v>
      </c>
      <c r="E238" s="13">
        <f t="shared" si="17"/>
        <v>5.2647330784269286</v>
      </c>
      <c r="F238" s="13">
        <f t="shared" si="18"/>
        <v>27.717414387082684</v>
      </c>
      <c r="G238" s="5">
        <f t="shared" si="19"/>
        <v>0.10968193913389435</v>
      </c>
    </row>
    <row r="239" spans="1:7" ht="15.75" customHeight="1">
      <c r="A239" s="3">
        <v>21788</v>
      </c>
      <c r="B239" s="4">
        <v>50</v>
      </c>
      <c r="C239">
        <f t="shared" si="15"/>
        <v>46.420580076471914</v>
      </c>
      <c r="D239" s="13">
        <f t="shared" si="16"/>
        <v>3.5794199235280857</v>
      </c>
      <c r="E239" s="13">
        <f t="shared" si="17"/>
        <v>3.5794199235280857</v>
      </c>
      <c r="F239" s="13">
        <f t="shared" si="18"/>
        <v>12.812246988949807</v>
      </c>
      <c r="G239" s="5">
        <f t="shared" si="19"/>
        <v>7.1588398470561712E-2</v>
      </c>
    </row>
    <row r="240" spans="1:7" ht="15.75" customHeight="1">
      <c r="A240" s="3">
        <v>21789</v>
      </c>
      <c r="B240" s="4">
        <v>41</v>
      </c>
      <c r="C240">
        <f t="shared" si="15"/>
        <v>48.926174022941574</v>
      </c>
      <c r="D240" s="13">
        <f t="shared" si="16"/>
        <v>-7.9261740229415736</v>
      </c>
      <c r="E240" s="13">
        <f t="shared" si="17"/>
        <v>7.9261740229415736</v>
      </c>
      <c r="F240" s="13">
        <f t="shared" si="18"/>
        <v>62.824234641953808</v>
      </c>
      <c r="G240" s="5">
        <f t="shared" si="19"/>
        <v>0.19332131763272131</v>
      </c>
    </row>
    <row r="241" spans="1:7" ht="15.75" customHeight="1">
      <c r="A241" s="3">
        <v>21790</v>
      </c>
      <c r="B241" s="4">
        <v>42</v>
      </c>
      <c r="C241">
        <f t="shared" si="15"/>
        <v>43.377852206882473</v>
      </c>
      <c r="D241" s="13">
        <f t="shared" si="16"/>
        <v>-1.3778522068824728</v>
      </c>
      <c r="E241" s="13">
        <f t="shared" si="17"/>
        <v>1.3778522068824728</v>
      </c>
      <c r="F241" s="13">
        <f t="shared" si="18"/>
        <v>1.8984767040109005</v>
      </c>
      <c r="G241" s="5">
        <f t="shared" si="19"/>
        <v>3.2806004925773159E-2</v>
      </c>
    </row>
    <row r="242" spans="1:7" ht="15.75" customHeight="1">
      <c r="A242" s="3">
        <v>21791</v>
      </c>
      <c r="B242" s="4">
        <v>51</v>
      </c>
      <c r="C242">
        <f t="shared" si="15"/>
        <v>42.413355662064738</v>
      </c>
      <c r="D242" s="13">
        <f t="shared" si="16"/>
        <v>8.5866443379352617</v>
      </c>
      <c r="E242" s="13">
        <f t="shared" si="17"/>
        <v>8.5866443379352617</v>
      </c>
      <c r="F242" s="13">
        <f t="shared" si="18"/>
        <v>73.730460986195695</v>
      </c>
      <c r="G242" s="5">
        <f t="shared" si="19"/>
        <v>0.16836557525363258</v>
      </c>
    </row>
    <row r="243" spans="1:7" ht="15.75" customHeight="1">
      <c r="A243" s="3">
        <v>21792</v>
      </c>
      <c r="B243" s="4">
        <v>41</v>
      </c>
      <c r="C243">
        <f t="shared" si="15"/>
        <v>48.424006698619415</v>
      </c>
      <c r="D243" s="13">
        <f t="shared" si="16"/>
        <v>-7.4240066986194151</v>
      </c>
      <c r="E243" s="13">
        <f t="shared" si="17"/>
        <v>7.4240066986194151</v>
      </c>
      <c r="F243" s="13">
        <f t="shared" si="18"/>
        <v>55.115875461145947</v>
      </c>
      <c r="G243" s="5">
        <f t="shared" si="19"/>
        <v>0.18107333411266865</v>
      </c>
    </row>
    <row r="244" spans="1:7" ht="15.75" customHeight="1">
      <c r="A244" s="3">
        <v>21793</v>
      </c>
      <c r="B244" s="4">
        <v>44</v>
      </c>
      <c r="C244">
        <f t="shared" si="15"/>
        <v>43.227202009585824</v>
      </c>
      <c r="D244" s="13">
        <f t="shared" si="16"/>
        <v>0.77279799041417618</v>
      </c>
      <c r="E244" s="13">
        <f t="shared" si="17"/>
        <v>0.77279799041417618</v>
      </c>
      <c r="F244" s="13">
        <f t="shared" si="18"/>
        <v>0.5972167339881892</v>
      </c>
      <c r="G244" s="5">
        <f t="shared" si="19"/>
        <v>1.7563590691231278E-2</v>
      </c>
    </row>
    <row r="245" spans="1:7" ht="15.75" customHeight="1">
      <c r="A245" s="3">
        <v>21794</v>
      </c>
      <c r="B245" s="4">
        <v>38</v>
      </c>
      <c r="C245">
        <f t="shared" si="15"/>
        <v>43.768160602875746</v>
      </c>
      <c r="D245" s="13">
        <f t="shared" si="16"/>
        <v>-5.7681606028757457</v>
      </c>
      <c r="E245" s="13">
        <f t="shared" si="17"/>
        <v>5.7681606028757457</v>
      </c>
      <c r="F245" s="13">
        <f t="shared" si="18"/>
        <v>33.271676740567884</v>
      </c>
      <c r="G245" s="5">
        <f t="shared" si="19"/>
        <v>0.15179370007567752</v>
      </c>
    </row>
    <row r="246" spans="1:7" ht="15.75" customHeight="1">
      <c r="A246" s="3">
        <v>21795</v>
      </c>
      <c r="B246" s="4">
        <v>68</v>
      </c>
      <c r="C246">
        <f t="shared" si="15"/>
        <v>39.730448180862723</v>
      </c>
      <c r="D246" s="13">
        <f t="shared" si="16"/>
        <v>28.269551819137277</v>
      </c>
      <c r="E246" s="13">
        <f t="shared" si="17"/>
        <v>28.269551819137277</v>
      </c>
      <c r="F246" s="13">
        <f t="shared" si="18"/>
        <v>799.16756005488776</v>
      </c>
      <c r="G246" s="5">
        <f t="shared" si="19"/>
        <v>0.41572870322260702</v>
      </c>
    </row>
    <row r="247" spans="1:7" ht="15.75" customHeight="1">
      <c r="A247" s="3">
        <v>21796</v>
      </c>
      <c r="B247" s="4">
        <v>40</v>
      </c>
      <c r="C247">
        <f t="shared" si="15"/>
        <v>59.519134454258811</v>
      </c>
      <c r="D247" s="13">
        <f t="shared" si="16"/>
        <v>-19.519134454258811</v>
      </c>
      <c r="E247" s="13">
        <f t="shared" si="17"/>
        <v>19.519134454258811</v>
      </c>
      <c r="F247" s="13">
        <f t="shared" si="18"/>
        <v>380.99660984343342</v>
      </c>
      <c r="G247" s="5">
        <f t="shared" si="19"/>
        <v>0.48797836135647027</v>
      </c>
    </row>
    <row r="248" spans="1:7" ht="15.75" customHeight="1">
      <c r="A248" s="3">
        <v>21797</v>
      </c>
      <c r="B248" s="4">
        <v>42</v>
      </c>
      <c r="C248">
        <f t="shared" si="15"/>
        <v>45.855740336277641</v>
      </c>
      <c r="D248" s="13">
        <f t="shared" si="16"/>
        <v>-3.8557403362776412</v>
      </c>
      <c r="E248" s="13">
        <f t="shared" si="17"/>
        <v>3.8557403362776412</v>
      </c>
      <c r="F248" s="13">
        <f t="shared" si="18"/>
        <v>14.866733540798418</v>
      </c>
      <c r="G248" s="5">
        <f t="shared" si="19"/>
        <v>9.1803341339943834E-2</v>
      </c>
    </row>
    <row r="249" spans="1:7" ht="15.75" customHeight="1">
      <c r="A249" s="3">
        <v>21798</v>
      </c>
      <c r="B249" s="4">
        <v>51</v>
      </c>
      <c r="C249">
        <f t="shared" si="15"/>
        <v>43.156722100883293</v>
      </c>
      <c r="D249" s="13">
        <f t="shared" si="16"/>
        <v>7.8432778991167069</v>
      </c>
      <c r="E249" s="13">
        <f t="shared" si="17"/>
        <v>7.8432778991167069</v>
      </c>
      <c r="F249" s="13">
        <f t="shared" si="18"/>
        <v>61.517008202772587</v>
      </c>
      <c r="G249" s="5">
        <f t="shared" si="19"/>
        <v>0.15378976272777856</v>
      </c>
    </row>
    <row r="250" spans="1:7" ht="15.75" customHeight="1">
      <c r="A250" s="3">
        <v>21799</v>
      </c>
      <c r="B250" s="4">
        <v>44</v>
      </c>
      <c r="C250">
        <f t="shared" si="15"/>
        <v>48.647016630264986</v>
      </c>
      <c r="D250" s="13">
        <f t="shared" si="16"/>
        <v>-4.6470166302649858</v>
      </c>
      <c r="E250" s="13">
        <f t="shared" si="17"/>
        <v>4.6470166302649858</v>
      </c>
      <c r="F250" s="13">
        <f t="shared" si="18"/>
        <v>21.594763561959343</v>
      </c>
      <c r="G250" s="5">
        <f t="shared" si="19"/>
        <v>0.10561401432420423</v>
      </c>
    </row>
    <row r="251" spans="1:7" ht="15.75" customHeight="1">
      <c r="A251" s="3">
        <v>21800</v>
      </c>
      <c r="B251" s="4">
        <v>45</v>
      </c>
      <c r="C251">
        <f t="shared" si="15"/>
        <v>45.394104989079494</v>
      </c>
      <c r="D251" s="13">
        <f t="shared" si="16"/>
        <v>-0.39410498907949432</v>
      </c>
      <c r="E251" s="13">
        <f t="shared" si="17"/>
        <v>0.39410498907949432</v>
      </c>
      <c r="F251" s="13">
        <f t="shared" si="18"/>
        <v>0.15531874241734833</v>
      </c>
      <c r="G251" s="5">
        <f t="shared" si="19"/>
        <v>8.7578886462109842E-3</v>
      </c>
    </row>
    <row r="252" spans="1:7" ht="15.75" customHeight="1">
      <c r="A252" s="3">
        <v>21801</v>
      </c>
      <c r="B252" s="4">
        <v>36</v>
      </c>
      <c r="C252">
        <f t="shared" si="15"/>
        <v>45.118231496723844</v>
      </c>
      <c r="D252" s="13">
        <f t="shared" si="16"/>
        <v>-9.118231496723844</v>
      </c>
      <c r="E252" s="13">
        <f t="shared" si="17"/>
        <v>9.118231496723844</v>
      </c>
      <c r="F252" s="13">
        <f t="shared" si="18"/>
        <v>83.142145627846759</v>
      </c>
      <c r="G252" s="5">
        <f t="shared" si="19"/>
        <v>0.253284208242329</v>
      </c>
    </row>
    <row r="253" spans="1:7" ht="15.75" customHeight="1">
      <c r="A253" s="3">
        <v>21802</v>
      </c>
      <c r="B253" s="4">
        <v>57</v>
      </c>
      <c r="C253">
        <f t="shared" si="15"/>
        <v>38.735469449017152</v>
      </c>
      <c r="D253" s="13">
        <f t="shared" si="16"/>
        <v>18.264530550982848</v>
      </c>
      <c r="E253" s="13">
        <f t="shared" si="17"/>
        <v>18.264530550982848</v>
      </c>
      <c r="F253" s="13">
        <f t="shared" si="18"/>
        <v>333.5930762477858</v>
      </c>
      <c r="G253" s="5">
        <f t="shared" si="19"/>
        <v>0.32043036054355872</v>
      </c>
    </row>
    <row r="254" spans="1:7" ht="15.75" customHeight="1">
      <c r="A254" s="3">
        <v>21803</v>
      </c>
      <c r="B254" s="4">
        <v>44</v>
      </c>
      <c r="C254">
        <f t="shared" si="15"/>
        <v>51.520640834705148</v>
      </c>
      <c r="D254" s="13">
        <f t="shared" si="16"/>
        <v>-7.5206408347051479</v>
      </c>
      <c r="E254" s="13">
        <f t="shared" si="17"/>
        <v>7.5206408347051479</v>
      </c>
      <c r="F254" s="13">
        <f t="shared" si="18"/>
        <v>56.560038564634546</v>
      </c>
      <c r="G254" s="5">
        <f t="shared" si="19"/>
        <v>0.17092365533420792</v>
      </c>
    </row>
    <row r="255" spans="1:7" ht="15.75" customHeight="1">
      <c r="A255" s="3">
        <v>21804</v>
      </c>
      <c r="B255" s="4">
        <v>42</v>
      </c>
      <c r="C255">
        <f t="shared" si="15"/>
        <v>46.256192250411544</v>
      </c>
      <c r="D255" s="13">
        <f t="shared" si="16"/>
        <v>-4.2561922504115444</v>
      </c>
      <c r="E255" s="13">
        <f t="shared" si="17"/>
        <v>4.2561922504115444</v>
      </c>
      <c r="F255" s="13">
        <f t="shared" si="18"/>
        <v>18.115172472463286</v>
      </c>
      <c r="G255" s="5">
        <f t="shared" si="19"/>
        <v>0.10133791072408439</v>
      </c>
    </row>
    <row r="256" spans="1:7" ht="15.75" customHeight="1">
      <c r="A256" s="3">
        <v>21805</v>
      </c>
      <c r="B256" s="4">
        <v>53</v>
      </c>
      <c r="C256">
        <f t="shared" si="15"/>
        <v>43.276857675123459</v>
      </c>
      <c r="D256" s="13">
        <f t="shared" si="16"/>
        <v>9.723142324876541</v>
      </c>
      <c r="E256" s="13">
        <f t="shared" si="17"/>
        <v>9.723142324876541</v>
      </c>
      <c r="F256" s="13">
        <f t="shared" si="18"/>
        <v>94.539496669805587</v>
      </c>
      <c r="G256" s="5">
        <f t="shared" si="19"/>
        <v>0.18345551556370832</v>
      </c>
    </row>
    <row r="257" spans="1:7" ht="15.75" customHeight="1">
      <c r="A257" s="3">
        <v>21806</v>
      </c>
      <c r="B257" s="4">
        <v>42</v>
      </c>
      <c r="C257">
        <f t="shared" si="15"/>
        <v>50.083057302537028</v>
      </c>
      <c r="D257" s="13">
        <f t="shared" si="16"/>
        <v>-8.0830573025370285</v>
      </c>
      <c r="E257" s="13">
        <f t="shared" si="17"/>
        <v>8.0830573025370285</v>
      </c>
      <c r="F257" s="13">
        <f t="shared" si="18"/>
        <v>65.335815356097186</v>
      </c>
      <c r="G257" s="5">
        <f t="shared" si="19"/>
        <v>0.19245374529850068</v>
      </c>
    </row>
    <row r="258" spans="1:7" ht="15.75" customHeight="1">
      <c r="A258" s="3">
        <v>21807</v>
      </c>
      <c r="B258" s="4">
        <v>34</v>
      </c>
      <c r="C258">
        <f t="shared" si="15"/>
        <v>44.424917190761107</v>
      </c>
      <c r="D258" s="13">
        <f t="shared" si="16"/>
        <v>-10.424917190761107</v>
      </c>
      <c r="E258" s="13">
        <f t="shared" si="17"/>
        <v>10.424917190761107</v>
      </c>
      <c r="F258" s="13">
        <f t="shared" si="18"/>
        <v>108.67889843422645</v>
      </c>
      <c r="G258" s="5">
        <f t="shared" si="19"/>
        <v>0.30661521149297372</v>
      </c>
    </row>
    <row r="259" spans="1:7" ht="15.75" customHeight="1">
      <c r="A259" s="3">
        <v>21808</v>
      </c>
      <c r="B259" s="4">
        <v>40</v>
      </c>
      <c r="C259">
        <f t="shared" si="15"/>
        <v>37.127475157228332</v>
      </c>
      <c r="D259" s="13">
        <f t="shared" si="16"/>
        <v>2.8725248427716679</v>
      </c>
      <c r="E259" s="13">
        <f t="shared" si="17"/>
        <v>2.8725248427716679</v>
      </c>
      <c r="F259" s="13">
        <f t="shared" si="18"/>
        <v>8.2513989723403949</v>
      </c>
      <c r="G259" s="5">
        <f t="shared" si="19"/>
        <v>7.1813121069291691E-2</v>
      </c>
    </row>
    <row r="260" spans="1:7" ht="15.75" customHeight="1">
      <c r="A260" s="3">
        <v>21809</v>
      </c>
      <c r="B260" s="4">
        <v>56</v>
      </c>
      <c r="C260">
        <f t="shared" ref="C260:C323" si="20">0.7*B259+0.3*C259</f>
        <v>39.138242547168502</v>
      </c>
      <c r="D260" s="13">
        <f t="shared" ref="D260:D323" si="21">B260-C260</f>
        <v>16.861757452831498</v>
      </c>
      <c r="E260" s="13">
        <f t="shared" ref="E260:E323" si="22">ABS(D260)</f>
        <v>16.861757452831498</v>
      </c>
      <c r="F260" s="13">
        <f t="shared" ref="F260:F323" si="23">E260^2</f>
        <v>284.31886439811854</v>
      </c>
      <c r="G260" s="5">
        <f t="shared" ref="G260:G323" si="24">E260/B260</f>
        <v>0.3011028116577053</v>
      </c>
    </row>
    <row r="261" spans="1:7" ht="15.75" customHeight="1">
      <c r="A261" s="3">
        <v>21810</v>
      </c>
      <c r="B261" s="4">
        <v>44</v>
      </c>
      <c r="C261">
        <f t="shared" si="20"/>
        <v>50.941472764150546</v>
      </c>
      <c r="D261" s="13">
        <f t="shared" si="21"/>
        <v>-6.9414727641505465</v>
      </c>
      <c r="E261" s="13">
        <f t="shared" si="22"/>
        <v>6.9414727641505465</v>
      </c>
      <c r="F261" s="13">
        <f t="shared" si="23"/>
        <v>48.184044135443827</v>
      </c>
      <c r="G261" s="5">
        <f t="shared" si="24"/>
        <v>0.15776074463978515</v>
      </c>
    </row>
    <row r="262" spans="1:7" ht="15.75" customHeight="1">
      <c r="A262" s="3">
        <v>21811</v>
      </c>
      <c r="B262" s="4">
        <v>53</v>
      </c>
      <c r="C262">
        <f t="shared" si="20"/>
        <v>46.082441829245163</v>
      </c>
      <c r="D262" s="13">
        <f t="shared" si="21"/>
        <v>6.9175581707548375</v>
      </c>
      <c r="E262" s="13">
        <f t="shared" si="22"/>
        <v>6.9175581707548375</v>
      </c>
      <c r="F262" s="13">
        <f t="shared" si="23"/>
        <v>47.85261104577701</v>
      </c>
      <c r="G262" s="5">
        <f t="shared" si="24"/>
        <v>0.13051996548594033</v>
      </c>
    </row>
    <row r="263" spans="1:7" ht="15.75" customHeight="1">
      <c r="A263" s="3">
        <v>21812</v>
      </c>
      <c r="B263" s="4">
        <v>55</v>
      </c>
      <c r="C263">
        <f t="shared" si="20"/>
        <v>50.924732548773541</v>
      </c>
      <c r="D263" s="13">
        <f t="shared" si="21"/>
        <v>4.0752674512264591</v>
      </c>
      <c r="E263" s="13">
        <f t="shared" si="22"/>
        <v>4.0752674512264591</v>
      </c>
      <c r="F263" s="13">
        <f t="shared" si="23"/>
        <v>16.6078047990258</v>
      </c>
      <c r="G263" s="5">
        <f t="shared" si="24"/>
        <v>7.4095771840481078E-2</v>
      </c>
    </row>
    <row r="264" spans="1:7" ht="15.75" customHeight="1">
      <c r="A264" s="3">
        <v>21813</v>
      </c>
      <c r="B264" s="4">
        <v>39</v>
      </c>
      <c r="C264">
        <f t="shared" si="20"/>
        <v>53.777419764632057</v>
      </c>
      <c r="D264" s="13">
        <f t="shared" si="21"/>
        <v>-14.777419764632057</v>
      </c>
      <c r="E264" s="13">
        <f t="shared" si="22"/>
        <v>14.777419764632057</v>
      </c>
      <c r="F264" s="13">
        <f t="shared" si="23"/>
        <v>218.37213490013818</v>
      </c>
      <c r="G264" s="5">
        <f t="shared" si="24"/>
        <v>0.37890819909312967</v>
      </c>
    </row>
    <row r="265" spans="1:7" ht="15.75" customHeight="1">
      <c r="A265" s="3">
        <v>21814</v>
      </c>
      <c r="B265" s="4">
        <v>59</v>
      </c>
      <c r="C265">
        <f t="shared" si="20"/>
        <v>43.433225929389614</v>
      </c>
      <c r="D265" s="13">
        <f t="shared" si="21"/>
        <v>15.566774070610386</v>
      </c>
      <c r="E265" s="13">
        <f t="shared" si="22"/>
        <v>15.566774070610386</v>
      </c>
      <c r="F265" s="13">
        <f t="shared" si="23"/>
        <v>242.32445496542783</v>
      </c>
      <c r="G265" s="5">
        <f t="shared" si="24"/>
        <v>0.26384362831543029</v>
      </c>
    </row>
    <row r="266" spans="1:7" ht="15.75" customHeight="1">
      <c r="A266" s="3">
        <v>21815</v>
      </c>
      <c r="B266" s="4">
        <v>55</v>
      </c>
      <c r="C266">
        <f t="shared" si="20"/>
        <v>54.329967778816879</v>
      </c>
      <c r="D266" s="13">
        <f t="shared" si="21"/>
        <v>0.67003222118312067</v>
      </c>
      <c r="E266" s="13">
        <f t="shared" si="22"/>
        <v>0.67003222118312067</v>
      </c>
      <c r="F266" s="13">
        <f t="shared" si="23"/>
        <v>0.44894317742358636</v>
      </c>
      <c r="G266" s="5">
        <f t="shared" si="24"/>
        <v>1.2182404021511285E-2</v>
      </c>
    </row>
    <row r="267" spans="1:7" ht="15.75" customHeight="1">
      <c r="A267" s="3">
        <v>21816</v>
      </c>
      <c r="B267" s="4">
        <v>73</v>
      </c>
      <c r="C267">
        <f t="shared" si="20"/>
        <v>54.798990333645065</v>
      </c>
      <c r="D267" s="13">
        <f t="shared" si="21"/>
        <v>18.201009666354935</v>
      </c>
      <c r="E267" s="13">
        <f t="shared" si="22"/>
        <v>18.201009666354935</v>
      </c>
      <c r="F267" s="13">
        <f t="shared" si="23"/>
        <v>331.2767528747458</v>
      </c>
      <c r="G267" s="5">
        <f t="shared" si="24"/>
        <v>0.24932889953910869</v>
      </c>
    </row>
    <row r="268" spans="1:7" ht="15.75" customHeight="1">
      <c r="A268" s="3">
        <v>21817</v>
      </c>
      <c r="B268" s="4">
        <v>55</v>
      </c>
      <c r="C268">
        <f t="shared" si="20"/>
        <v>67.53969710009352</v>
      </c>
      <c r="D268" s="13">
        <f t="shared" si="21"/>
        <v>-12.53969710009352</v>
      </c>
      <c r="E268" s="13">
        <f t="shared" si="22"/>
        <v>12.53969710009352</v>
      </c>
      <c r="F268" s="13">
        <f t="shared" si="23"/>
        <v>157.24400336209382</v>
      </c>
      <c r="G268" s="5">
        <f t="shared" si="24"/>
        <v>0.22799449272897307</v>
      </c>
    </row>
    <row r="269" spans="1:7" ht="15.75" customHeight="1">
      <c r="A269" s="3">
        <v>21818</v>
      </c>
      <c r="B269" s="4">
        <v>44</v>
      </c>
      <c r="C269">
        <f t="shared" si="20"/>
        <v>58.761909130028059</v>
      </c>
      <c r="D269" s="13">
        <f t="shared" si="21"/>
        <v>-14.761909130028059</v>
      </c>
      <c r="E269" s="13">
        <f t="shared" si="22"/>
        <v>14.761909130028059</v>
      </c>
      <c r="F269" s="13">
        <f t="shared" si="23"/>
        <v>217.91396116320576</v>
      </c>
      <c r="G269" s="5">
        <f t="shared" si="24"/>
        <v>0.33549793477336498</v>
      </c>
    </row>
    <row r="270" spans="1:7" ht="15.75" customHeight="1">
      <c r="A270" s="3">
        <v>21819</v>
      </c>
      <c r="B270" s="4">
        <v>43</v>
      </c>
      <c r="C270">
        <f t="shared" si="20"/>
        <v>48.428572739008416</v>
      </c>
      <c r="D270" s="13">
        <f t="shared" si="21"/>
        <v>-5.4285727390084162</v>
      </c>
      <c r="E270" s="13">
        <f t="shared" si="22"/>
        <v>5.4285727390084162</v>
      </c>
      <c r="F270" s="13">
        <f t="shared" si="23"/>
        <v>29.469401982705339</v>
      </c>
      <c r="G270" s="5">
        <f t="shared" si="24"/>
        <v>0.12624587765135853</v>
      </c>
    </row>
    <row r="271" spans="1:7" ht="15.75" customHeight="1">
      <c r="A271" s="3">
        <v>21820</v>
      </c>
      <c r="B271" s="4">
        <v>40</v>
      </c>
      <c r="C271">
        <f t="shared" si="20"/>
        <v>44.628571821702522</v>
      </c>
      <c r="D271" s="13">
        <f t="shared" si="21"/>
        <v>-4.628571821702522</v>
      </c>
      <c r="E271" s="13">
        <f t="shared" si="22"/>
        <v>4.628571821702522</v>
      </c>
      <c r="F271" s="13">
        <f t="shared" si="23"/>
        <v>21.423677108658602</v>
      </c>
      <c r="G271" s="5">
        <f t="shared" si="24"/>
        <v>0.11571429554256304</v>
      </c>
    </row>
    <row r="272" spans="1:7" ht="15.75" customHeight="1">
      <c r="A272" s="3">
        <v>21821</v>
      </c>
      <c r="B272" s="4">
        <v>47</v>
      </c>
      <c r="C272">
        <f t="shared" si="20"/>
        <v>41.388571546510754</v>
      </c>
      <c r="D272" s="13">
        <f t="shared" si="21"/>
        <v>5.6114284534892462</v>
      </c>
      <c r="E272" s="13">
        <f t="shared" si="22"/>
        <v>5.6114284534892462</v>
      </c>
      <c r="F272" s="13">
        <f t="shared" si="23"/>
        <v>31.488129288628713</v>
      </c>
      <c r="G272" s="5">
        <f t="shared" si="24"/>
        <v>0.11939209475509034</v>
      </c>
    </row>
    <row r="273" spans="1:7" ht="15.75" customHeight="1">
      <c r="A273" s="3">
        <v>21822</v>
      </c>
      <c r="B273" s="4">
        <v>51</v>
      </c>
      <c r="C273">
        <f t="shared" si="20"/>
        <v>45.316571463953224</v>
      </c>
      <c r="D273" s="13">
        <f t="shared" si="21"/>
        <v>5.683428536046776</v>
      </c>
      <c r="E273" s="13">
        <f t="shared" si="22"/>
        <v>5.683428536046776</v>
      </c>
      <c r="F273" s="13">
        <f t="shared" si="23"/>
        <v>32.301359924350798</v>
      </c>
      <c r="G273" s="5">
        <f t="shared" si="24"/>
        <v>0.11143977521660345</v>
      </c>
    </row>
    <row r="274" spans="1:7" ht="15.75" customHeight="1">
      <c r="A274" s="3">
        <v>21823</v>
      </c>
      <c r="B274" s="4">
        <v>56</v>
      </c>
      <c r="C274">
        <f t="shared" si="20"/>
        <v>49.294971439185964</v>
      </c>
      <c r="D274" s="13">
        <f t="shared" si="21"/>
        <v>6.7050285608140356</v>
      </c>
      <c r="E274" s="13">
        <f t="shared" si="22"/>
        <v>6.7050285608140356</v>
      </c>
      <c r="F274" s="13">
        <f t="shared" si="23"/>
        <v>44.957408001331935</v>
      </c>
      <c r="G274" s="5">
        <f t="shared" si="24"/>
        <v>0.11973265287167921</v>
      </c>
    </row>
    <row r="275" spans="1:7" ht="15.75" customHeight="1">
      <c r="A275" s="3">
        <v>21824</v>
      </c>
      <c r="B275" s="4">
        <v>49</v>
      </c>
      <c r="C275">
        <f t="shared" si="20"/>
        <v>53.988491431755783</v>
      </c>
      <c r="D275" s="13">
        <f t="shared" si="21"/>
        <v>-4.9884914317557829</v>
      </c>
      <c r="E275" s="13">
        <f t="shared" si="22"/>
        <v>4.9884914317557829</v>
      </c>
      <c r="F275" s="13">
        <f t="shared" si="23"/>
        <v>24.88504676470086</v>
      </c>
      <c r="G275" s="5">
        <f t="shared" si="24"/>
        <v>0.10180594758685271</v>
      </c>
    </row>
    <row r="276" spans="1:7" ht="15.75" customHeight="1">
      <c r="A276" s="3">
        <v>21825</v>
      </c>
      <c r="B276" s="4">
        <v>54</v>
      </c>
      <c r="C276">
        <f t="shared" si="20"/>
        <v>50.496547429526728</v>
      </c>
      <c r="D276" s="13">
        <f t="shared" si="21"/>
        <v>3.5034525704732715</v>
      </c>
      <c r="E276" s="13">
        <f t="shared" si="22"/>
        <v>3.5034525704732715</v>
      </c>
      <c r="F276" s="13">
        <f t="shared" si="23"/>
        <v>12.274179913555773</v>
      </c>
      <c r="G276" s="5">
        <f t="shared" si="24"/>
        <v>6.4878751305060586E-2</v>
      </c>
    </row>
    <row r="277" spans="1:7" ht="15.75" customHeight="1">
      <c r="A277" s="3">
        <v>21826</v>
      </c>
      <c r="B277" s="4">
        <v>56</v>
      </c>
      <c r="C277">
        <f t="shared" si="20"/>
        <v>52.948964228858017</v>
      </c>
      <c r="D277" s="13">
        <f t="shared" si="21"/>
        <v>3.0510357711419829</v>
      </c>
      <c r="E277" s="13">
        <f t="shared" si="22"/>
        <v>3.0510357711419829</v>
      </c>
      <c r="F277" s="13">
        <f t="shared" si="23"/>
        <v>9.3088192767879541</v>
      </c>
      <c r="G277" s="5">
        <f t="shared" si="24"/>
        <v>5.4482781627535407E-2</v>
      </c>
    </row>
    <row r="278" spans="1:7" ht="15.75" customHeight="1">
      <c r="A278" s="3">
        <v>21827</v>
      </c>
      <c r="B278" s="4">
        <v>47</v>
      </c>
      <c r="C278">
        <f t="shared" si="20"/>
        <v>55.084689268657399</v>
      </c>
      <c r="D278" s="13">
        <f t="shared" si="21"/>
        <v>-8.0846892686573995</v>
      </c>
      <c r="E278" s="13">
        <f t="shared" si="22"/>
        <v>8.0846892686573995</v>
      </c>
      <c r="F278" s="13">
        <f t="shared" si="23"/>
        <v>65.362200570744122</v>
      </c>
      <c r="G278" s="5">
        <f t="shared" si="24"/>
        <v>0.17201466529058296</v>
      </c>
    </row>
    <row r="279" spans="1:7" ht="15.75" customHeight="1">
      <c r="A279" s="3">
        <v>21828</v>
      </c>
      <c r="B279" s="4">
        <v>44</v>
      </c>
      <c r="C279">
        <f t="shared" si="20"/>
        <v>49.425406780597214</v>
      </c>
      <c r="D279" s="13">
        <f t="shared" si="21"/>
        <v>-5.4254067805972142</v>
      </c>
      <c r="E279" s="13">
        <f t="shared" si="22"/>
        <v>5.4254067805972142</v>
      </c>
      <c r="F279" s="13">
        <f t="shared" si="23"/>
        <v>29.435038734950229</v>
      </c>
      <c r="G279" s="5">
        <f t="shared" si="24"/>
        <v>0.12330469955902759</v>
      </c>
    </row>
    <row r="280" spans="1:7" ht="15.75" customHeight="1">
      <c r="A280" s="3">
        <v>21829</v>
      </c>
      <c r="B280" s="4">
        <v>43</v>
      </c>
      <c r="C280">
        <f t="shared" si="20"/>
        <v>45.627622034179161</v>
      </c>
      <c r="D280" s="13">
        <f t="shared" si="21"/>
        <v>-2.6276220341791614</v>
      </c>
      <c r="E280" s="13">
        <f t="shared" si="22"/>
        <v>2.6276220341791614</v>
      </c>
      <c r="F280" s="13">
        <f t="shared" si="23"/>
        <v>6.9043975545038343</v>
      </c>
      <c r="G280" s="5">
        <f t="shared" si="24"/>
        <v>6.1107489166957241E-2</v>
      </c>
    </row>
    <row r="281" spans="1:7" ht="15.75" customHeight="1">
      <c r="A281" s="3">
        <v>21830</v>
      </c>
      <c r="B281" s="4">
        <v>42</v>
      </c>
      <c r="C281">
        <f t="shared" si="20"/>
        <v>43.788286610253749</v>
      </c>
      <c r="D281" s="13">
        <f t="shared" si="21"/>
        <v>-1.7882866102537491</v>
      </c>
      <c r="E281" s="13">
        <f t="shared" si="22"/>
        <v>1.7882866102537491</v>
      </c>
      <c r="F281" s="13">
        <f t="shared" si="23"/>
        <v>3.1979690004128445</v>
      </c>
      <c r="G281" s="5">
        <f t="shared" si="24"/>
        <v>4.2578252625089262E-2</v>
      </c>
    </row>
    <row r="282" spans="1:7" ht="15.75" customHeight="1">
      <c r="A282" s="3">
        <v>21831</v>
      </c>
      <c r="B282" s="4">
        <v>45</v>
      </c>
      <c r="C282">
        <f t="shared" si="20"/>
        <v>42.536485983076119</v>
      </c>
      <c r="D282" s="13">
        <f t="shared" si="21"/>
        <v>2.4635140169238809</v>
      </c>
      <c r="E282" s="13">
        <f t="shared" si="22"/>
        <v>2.4635140169238809</v>
      </c>
      <c r="F282" s="13">
        <f t="shared" si="23"/>
        <v>6.0689013115804356</v>
      </c>
      <c r="G282" s="5">
        <f t="shared" si="24"/>
        <v>5.4744755931641798E-2</v>
      </c>
    </row>
    <row r="283" spans="1:7" ht="15.75" customHeight="1">
      <c r="A283" s="3">
        <v>21832</v>
      </c>
      <c r="B283" s="4">
        <v>50</v>
      </c>
      <c r="C283">
        <f t="shared" si="20"/>
        <v>44.260945794922833</v>
      </c>
      <c r="D283" s="13">
        <f t="shared" si="21"/>
        <v>5.7390542050771671</v>
      </c>
      <c r="E283" s="13">
        <f t="shared" si="22"/>
        <v>5.7390542050771671</v>
      </c>
      <c r="F283" s="13">
        <f t="shared" si="23"/>
        <v>32.936743168813912</v>
      </c>
      <c r="G283" s="5">
        <f t="shared" si="24"/>
        <v>0.11478108410154335</v>
      </c>
    </row>
    <row r="284" spans="1:7" ht="15.75" customHeight="1">
      <c r="A284" s="3">
        <v>21833</v>
      </c>
      <c r="B284" s="4">
        <v>48</v>
      </c>
      <c r="C284">
        <f t="shared" si="20"/>
        <v>48.278283738476851</v>
      </c>
      <c r="D284" s="13">
        <f t="shared" si="21"/>
        <v>-0.27828373847685128</v>
      </c>
      <c r="E284" s="13">
        <f t="shared" si="22"/>
        <v>0.27828373847685128</v>
      </c>
      <c r="F284" s="13">
        <f t="shared" si="23"/>
        <v>7.7441839100652554E-2</v>
      </c>
      <c r="G284" s="5">
        <f t="shared" si="24"/>
        <v>5.7975778849344017E-3</v>
      </c>
    </row>
    <row r="285" spans="1:7" ht="15.75" customHeight="1">
      <c r="A285" s="3">
        <v>21834</v>
      </c>
      <c r="B285" s="4">
        <v>43</v>
      </c>
      <c r="C285">
        <f t="shared" si="20"/>
        <v>48.083485121543049</v>
      </c>
      <c r="D285" s="13">
        <f t="shared" si="21"/>
        <v>-5.083485121543049</v>
      </c>
      <c r="E285" s="13">
        <f t="shared" si="22"/>
        <v>5.083485121543049</v>
      </c>
      <c r="F285" s="13">
        <f t="shared" si="23"/>
        <v>25.841820980949546</v>
      </c>
      <c r="G285" s="5">
        <f t="shared" si="24"/>
        <v>0.11822058422193137</v>
      </c>
    </row>
    <row r="286" spans="1:7" ht="15.75" customHeight="1">
      <c r="A286" s="3">
        <v>21835</v>
      </c>
      <c r="B286" s="4">
        <v>40</v>
      </c>
      <c r="C286">
        <f t="shared" si="20"/>
        <v>44.525045536462912</v>
      </c>
      <c r="D286" s="13">
        <f t="shared" si="21"/>
        <v>-4.5250455364629119</v>
      </c>
      <c r="E286" s="13">
        <f t="shared" si="22"/>
        <v>4.5250455364629119</v>
      </c>
      <c r="F286" s="13">
        <f t="shared" si="23"/>
        <v>20.476037107062922</v>
      </c>
      <c r="G286" s="5">
        <f t="shared" si="24"/>
        <v>0.11312613841157279</v>
      </c>
    </row>
    <row r="287" spans="1:7" ht="15.75" customHeight="1">
      <c r="A287" s="3">
        <v>21836</v>
      </c>
      <c r="B287" s="4">
        <v>59</v>
      </c>
      <c r="C287">
        <f t="shared" si="20"/>
        <v>41.357513660938871</v>
      </c>
      <c r="D287" s="13">
        <f t="shared" si="21"/>
        <v>17.642486339061129</v>
      </c>
      <c r="E287" s="13">
        <f t="shared" si="22"/>
        <v>17.642486339061129</v>
      </c>
      <c r="F287" s="13">
        <f t="shared" si="23"/>
        <v>311.25732422395856</v>
      </c>
      <c r="G287" s="5">
        <f t="shared" si="24"/>
        <v>0.29902519218747675</v>
      </c>
    </row>
    <row r="288" spans="1:7" ht="15.75" customHeight="1">
      <c r="A288" s="3">
        <v>21837</v>
      </c>
      <c r="B288" s="4">
        <v>41</v>
      </c>
      <c r="C288">
        <f t="shared" si="20"/>
        <v>53.707254098281659</v>
      </c>
      <c r="D288" s="13">
        <f t="shared" si="21"/>
        <v>-12.707254098281659</v>
      </c>
      <c r="E288" s="13">
        <f t="shared" si="22"/>
        <v>12.707254098281659</v>
      </c>
      <c r="F288" s="13">
        <f t="shared" si="23"/>
        <v>161.47430671829602</v>
      </c>
      <c r="G288" s="5">
        <f t="shared" si="24"/>
        <v>0.30993302678735751</v>
      </c>
    </row>
    <row r="289" spans="1:7" ht="15.75" customHeight="1">
      <c r="A289" s="3">
        <v>21838</v>
      </c>
      <c r="B289" s="4">
        <v>42</v>
      </c>
      <c r="C289">
        <f t="shared" si="20"/>
        <v>44.812176229484493</v>
      </c>
      <c r="D289" s="13">
        <f t="shared" si="21"/>
        <v>-2.8121762294844928</v>
      </c>
      <c r="E289" s="13">
        <f t="shared" si="22"/>
        <v>2.8121762294844928</v>
      </c>
      <c r="F289" s="13">
        <f t="shared" si="23"/>
        <v>7.9083351456776185</v>
      </c>
      <c r="G289" s="5">
        <f t="shared" si="24"/>
        <v>6.6956576892487921E-2</v>
      </c>
    </row>
    <row r="290" spans="1:7" ht="15.75" customHeight="1">
      <c r="A290" s="3">
        <v>21839</v>
      </c>
      <c r="B290" s="4">
        <v>51</v>
      </c>
      <c r="C290">
        <f t="shared" si="20"/>
        <v>42.843652868845346</v>
      </c>
      <c r="D290" s="13">
        <f t="shared" si="21"/>
        <v>8.1563471311546536</v>
      </c>
      <c r="E290" s="13">
        <f t="shared" si="22"/>
        <v>8.1563471311546536</v>
      </c>
      <c r="F290" s="13">
        <f t="shared" si="23"/>
        <v>66.525998523894742</v>
      </c>
      <c r="G290" s="5">
        <f t="shared" si="24"/>
        <v>0.15992837512067948</v>
      </c>
    </row>
    <row r="291" spans="1:7" ht="15.75" customHeight="1">
      <c r="A291" s="3">
        <v>21840</v>
      </c>
      <c r="B291" s="4">
        <v>49</v>
      </c>
      <c r="C291">
        <f t="shared" si="20"/>
        <v>48.553095860653599</v>
      </c>
      <c r="D291" s="13">
        <f t="shared" si="21"/>
        <v>0.44690413934640105</v>
      </c>
      <c r="E291" s="13">
        <f t="shared" si="22"/>
        <v>0.44690413934640105</v>
      </c>
      <c r="F291" s="13">
        <f t="shared" si="23"/>
        <v>0.19972330976494745</v>
      </c>
      <c r="G291" s="5">
        <f t="shared" si="24"/>
        <v>9.1204926397224703E-3</v>
      </c>
    </row>
    <row r="292" spans="1:7" ht="15.75" customHeight="1">
      <c r="A292" s="3">
        <v>21841</v>
      </c>
      <c r="B292" s="4">
        <v>45</v>
      </c>
      <c r="C292">
        <f t="shared" si="20"/>
        <v>48.865928758196077</v>
      </c>
      <c r="D292" s="13">
        <f t="shared" si="21"/>
        <v>-3.8659287581960768</v>
      </c>
      <c r="E292" s="13">
        <f t="shared" si="22"/>
        <v>3.8659287581960768</v>
      </c>
      <c r="F292" s="13">
        <f t="shared" si="23"/>
        <v>14.945405163447461</v>
      </c>
      <c r="G292" s="5">
        <f t="shared" si="24"/>
        <v>8.5909527959912815E-2</v>
      </c>
    </row>
    <row r="293" spans="1:7" ht="15.75" customHeight="1">
      <c r="A293" s="3">
        <v>21842</v>
      </c>
      <c r="B293" s="4">
        <v>43</v>
      </c>
      <c r="C293">
        <f t="shared" si="20"/>
        <v>46.15977862745882</v>
      </c>
      <c r="D293" s="13">
        <f t="shared" si="21"/>
        <v>-3.1597786274588202</v>
      </c>
      <c r="E293" s="13">
        <f t="shared" si="22"/>
        <v>3.1597786274588202</v>
      </c>
      <c r="F293" s="13">
        <f t="shared" si="23"/>
        <v>9.984200974545546</v>
      </c>
      <c r="G293" s="5">
        <f t="shared" si="24"/>
        <v>7.3483223894391173E-2</v>
      </c>
    </row>
    <row r="294" spans="1:7" ht="15.75" customHeight="1">
      <c r="A294" s="3">
        <v>21843</v>
      </c>
      <c r="B294" s="4">
        <v>42</v>
      </c>
      <c r="C294">
        <f t="shared" si="20"/>
        <v>43.947933588237646</v>
      </c>
      <c r="D294" s="13">
        <f t="shared" si="21"/>
        <v>-1.9479335882376461</v>
      </c>
      <c r="E294" s="13">
        <f t="shared" si="22"/>
        <v>1.9479335882376461</v>
      </c>
      <c r="F294" s="13">
        <f t="shared" si="23"/>
        <v>3.7944452641843913</v>
      </c>
      <c r="G294" s="5">
        <f t="shared" si="24"/>
        <v>4.6379371148515383E-2</v>
      </c>
    </row>
    <row r="295" spans="1:7" ht="15.75" customHeight="1">
      <c r="A295" s="3">
        <v>21844</v>
      </c>
      <c r="B295" s="4">
        <v>38</v>
      </c>
      <c r="C295">
        <f t="shared" si="20"/>
        <v>42.584380076471291</v>
      </c>
      <c r="D295" s="13">
        <f t="shared" si="21"/>
        <v>-4.584380076471291</v>
      </c>
      <c r="E295" s="13">
        <f t="shared" si="22"/>
        <v>4.584380076471291</v>
      </c>
      <c r="F295" s="13">
        <f t="shared" si="23"/>
        <v>21.016540685546921</v>
      </c>
      <c r="G295" s="5">
        <f t="shared" si="24"/>
        <v>0.12064158095977082</v>
      </c>
    </row>
    <row r="296" spans="1:7" ht="15.75" customHeight="1">
      <c r="A296" s="3">
        <v>21845</v>
      </c>
      <c r="B296" s="4">
        <v>47</v>
      </c>
      <c r="C296">
        <f t="shared" si="20"/>
        <v>39.375314022941382</v>
      </c>
      <c r="D296" s="13">
        <f t="shared" si="21"/>
        <v>7.6246859770586184</v>
      </c>
      <c r="E296" s="13">
        <f t="shared" si="22"/>
        <v>7.6246859770586184</v>
      </c>
      <c r="F296" s="13">
        <f t="shared" si="23"/>
        <v>58.135836248754337</v>
      </c>
      <c r="G296" s="5">
        <f t="shared" si="24"/>
        <v>0.16222736121401315</v>
      </c>
    </row>
    <row r="297" spans="1:7" ht="15.75" customHeight="1">
      <c r="A297" s="3">
        <v>21846</v>
      </c>
      <c r="B297" s="4">
        <v>38</v>
      </c>
      <c r="C297">
        <f t="shared" si="20"/>
        <v>44.712594206882414</v>
      </c>
      <c r="D297" s="13">
        <f t="shared" si="21"/>
        <v>-6.7125942068824145</v>
      </c>
      <c r="E297" s="13">
        <f t="shared" si="22"/>
        <v>6.7125942068824145</v>
      </c>
      <c r="F297" s="13">
        <f t="shared" si="23"/>
        <v>45.058920986271353</v>
      </c>
      <c r="G297" s="5">
        <f t="shared" si="24"/>
        <v>0.17664721597058985</v>
      </c>
    </row>
    <row r="298" spans="1:7" ht="15.75" customHeight="1">
      <c r="A298" s="3">
        <v>21847</v>
      </c>
      <c r="B298" s="4">
        <v>36</v>
      </c>
      <c r="C298">
        <f t="shared" si="20"/>
        <v>40.013778262064719</v>
      </c>
      <c r="D298" s="13">
        <f t="shared" si="21"/>
        <v>-4.0137782620647187</v>
      </c>
      <c r="E298" s="13">
        <f t="shared" si="22"/>
        <v>4.0137782620647187</v>
      </c>
      <c r="F298" s="13">
        <f t="shared" si="23"/>
        <v>16.110415937023273</v>
      </c>
      <c r="G298" s="5">
        <f t="shared" si="24"/>
        <v>0.11149384061290885</v>
      </c>
    </row>
    <row r="299" spans="1:7" ht="15.75" customHeight="1">
      <c r="A299" s="3">
        <v>21848</v>
      </c>
      <c r="B299" s="4">
        <v>42</v>
      </c>
      <c r="C299">
        <f t="shared" si="20"/>
        <v>37.204133478619411</v>
      </c>
      <c r="D299" s="13">
        <f t="shared" si="21"/>
        <v>4.7958665213805887</v>
      </c>
      <c r="E299" s="13">
        <f t="shared" si="22"/>
        <v>4.7958665213805887</v>
      </c>
      <c r="F299" s="13">
        <f t="shared" si="23"/>
        <v>23.000335690899149</v>
      </c>
      <c r="G299" s="5">
        <f t="shared" si="24"/>
        <v>0.11418729812810925</v>
      </c>
    </row>
    <row r="300" spans="1:7" ht="15.75" customHeight="1">
      <c r="A300" s="3">
        <v>21849</v>
      </c>
      <c r="B300" s="4">
        <v>35</v>
      </c>
      <c r="C300">
        <f t="shared" si="20"/>
        <v>40.561240043585819</v>
      </c>
      <c r="D300" s="13">
        <f t="shared" si="21"/>
        <v>-5.5612400435858191</v>
      </c>
      <c r="E300" s="13">
        <f t="shared" si="22"/>
        <v>5.5612400435858191</v>
      </c>
      <c r="F300" s="13">
        <f t="shared" si="23"/>
        <v>30.927390822382403</v>
      </c>
      <c r="G300" s="5">
        <f t="shared" si="24"/>
        <v>0.15889257267388054</v>
      </c>
    </row>
    <row r="301" spans="1:7" ht="15.75" customHeight="1">
      <c r="A301" s="3">
        <v>21850</v>
      </c>
      <c r="B301" s="4">
        <v>28</v>
      </c>
      <c r="C301">
        <f t="shared" si="20"/>
        <v>36.668372013075746</v>
      </c>
      <c r="D301" s="13">
        <f t="shared" si="21"/>
        <v>-8.6683720130757465</v>
      </c>
      <c r="E301" s="13">
        <f t="shared" si="22"/>
        <v>8.6683720130757465</v>
      </c>
      <c r="F301" s="13">
        <f t="shared" si="23"/>
        <v>75.140673357074874</v>
      </c>
      <c r="G301" s="5">
        <f t="shared" si="24"/>
        <v>0.30958471475270521</v>
      </c>
    </row>
    <row r="302" spans="1:7" ht="15.75" customHeight="1">
      <c r="A302" s="3">
        <v>21851</v>
      </c>
      <c r="B302" s="4">
        <v>44</v>
      </c>
      <c r="C302">
        <f t="shared" si="20"/>
        <v>30.600511603922719</v>
      </c>
      <c r="D302" s="13">
        <f t="shared" si="21"/>
        <v>13.399488396077281</v>
      </c>
      <c r="E302" s="13">
        <f t="shared" si="22"/>
        <v>13.399488396077281</v>
      </c>
      <c r="F302" s="13">
        <f t="shared" si="23"/>
        <v>179.54628927660971</v>
      </c>
      <c r="G302" s="5">
        <f t="shared" si="24"/>
        <v>0.30453382718357458</v>
      </c>
    </row>
    <row r="303" spans="1:7" ht="15.75" customHeight="1">
      <c r="A303" s="3">
        <v>21852</v>
      </c>
      <c r="B303" s="4">
        <v>36</v>
      </c>
      <c r="C303">
        <f t="shared" si="20"/>
        <v>39.980153481176814</v>
      </c>
      <c r="D303" s="13">
        <f t="shared" si="21"/>
        <v>-3.9801534811768136</v>
      </c>
      <c r="E303" s="13">
        <f t="shared" si="22"/>
        <v>3.9801534811768136</v>
      </c>
      <c r="F303" s="13">
        <f t="shared" si="23"/>
        <v>15.841621733723908</v>
      </c>
      <c r="G303" s="5">
        <f t="shared" si="24"/>
        <v>0.11055981892157815</v>
      </c>
    </row>
    <row r="304" spans="1:7" ht="15.75" customHeight="1">
      <c r="A304" s="3">
        <v>21853</v>
      </c>
      <c r="B304" s="4">
        <v>45</v>
      </c>
      <c r="C304">
        <f t="shared" si="20"/>
        <v>37.194046044353044</v>
      </c>
      <c r="D304" s="13">
        <f t="shared" si="21"/>
        <v>7.8059539556469559</v>
      </c>
      <c r="E304" s="13">
        <f t="shared" si="22"/>
        <v>7.8059539556469559</v>
      </c>
      <c r="F304" s="13">
        <f t="shared" si="23"/>
        <v>60.932917157680357</v>
      </c>
      <c r="G304" s="5">
        <f t="shared" si="24"/>
        <v>0.17346564345882123</v>
      </c>
    </row>
    <row r="305" spans="1:7" ht="15.75" customHeight="1">
      <c r="A305" s="3">
        <v>21854</v>
      </c>
      <c r="B305" s="4">
        <v>46</v>
      </c>
      <c r="C305">
        <f t="shared" si="20"/>
        <v>42.658213813305906</v>
      </c>
      <c r="D305" s="13">
        <f t="shared" si="21"/>
        <v>3.3417861866940939</v>
      </c>
      <c r="E305" s="13">
        <f t="shared" si="22"/>
        <v>3.3417861866940939</v>
      </c>
      <c r="F305" s="13">
        <f t="shared" si="23"/>
        <v>11.167534917579454</v>
      </c>
      <c r="G305" s="5">
        <f t="shared" si="24"/>
        <v>7.264752579769769E-2</v>
      </c>
    </row>
    <row r="306" spans="1:7" ht="15.75" customHeight="1">
      <c r="A306" s="3">
        <v>21855</v>
      </c>
      <c r="B306" s="4">
        <v>48</v>
      </c>
      <c r="C306">
        <f t="shared" si="20"/>
        <v>44.997464143991763</v>
      </c>
      <c r="D306" s="13">
        <f t="shared" si="21"/>
        <v>3.0025358560082367</v>
      </c>
      <c r="E306" s="13">
        <f t="shared" si="22"/>
        <v>3.0025358560082367</v>
      </c>
      <c r="F306" s="13">
        <f t="shared" si="23"/>
        <v>9.0152215666151143</v>
      </c>
      <c r="G306" s="5">
        <f t="shared" si="24"/>
        <v>6.2552830333504936E-2</v>
      </c>
    </row>
    <row r="307" spans="1:7" ht="15.75" customHeight="1">
      <c r="A307" s="3">
        <v>21856</v>
      </c>
      <c r="B307" s="4">
        <v>49</v>
      </c>
      <c r="C307">
        <f t="shared" si="20"/>
        <v>47.099239243197523</v>
      </c>
      <c r="D307" s="13">
        <f t="shared" si="21"/>
        <v>1.9007607568024767</v>
      </c>
      <c r="E307" s="13">
        <f t="shared" si="22"/>
        <v>1.9007607568024767</v>
      </c>
      <c r="F307" s="13">
        <f t="shared" si="23"/>
        <v>3.6128914546003239</v>
      </c>
      <c r="G307" s="5">
        <f t="shared" si="24"/>
        <v>3.879103585311177E-2</v>
      </c>
    </row>
    <row r="308" spans="1:7" ht="15.75" customHeight="1">
      <c r="A308" s="3">
        <v>21857</v>
      </c>
      <c r="B308" s="4">
        <v>43</v>
      </c>
      <c r="C308">
        <f t="shared" si="20"/>
        <v>48.429771772959256</v>
      </c>
      <c r="D308" s="13">
        <f t="shared" si="21"/>
        <v>-5.4297717729592563</v>
      </c>
      <c r="E308" s="13">
        <f t="shared" si="22"/>
        <v>5.4297717729592563</v>
      </c>
      <c r="F308" s="13">
        <f t="shared" si="23"/>
        <v>29.482421506425105</v>
      </c>
      <c r="G308" s="5">
        <f t="shared" si="24"/>
        <v>0.12627376216184316</v>
      </c>
    </row>
    <row r="309" spans="1:7" ht="15.75" customHeight="1">
      <c r="A309" s="3">
        <v>21858</v>
      </c>
      <c r="B309" s="4">
        <v>42</v>
      </c>
      <c r="C309">
        <f t="shared" si="20"/>
        <v>44.628931531887773</v>
      </c>
      <c r="D309" s="13">
        <f t="shared" si="21"/>
        <v>-2.6289315318877726</v>
      </c>
      <c r="E309" s="13">
        <f t="shared" si="22"/>
        <v>2.6289315318877726</v>
      </c>
      <c r="F309" s="13">
        <f t="shared" si="23"/>
        <v>6.9112809993537905</v>
      </c>
      <c r="G309" s="5">
        <f t="shared" si="24"/>
        <v>6.2593607902089829E-2</v>
      </c>
    </row>
    <row r="310" spans="1:7" ht="15.75" customHeight="1">
      <c r="A310" s="3">
        <v>21859</v>
      </c>
      <c r="B310" s="4">
        <v>59</v>
      </c>
      <c r="C310">
        <f t="shared" si="20"/>
        <v>42.788679459566332</v>
      </c>
      <c r="D310" s="13">
        <f t="shared" si="21"/>
        <v>16.211320540433668</v>
      </c>
      <c r="E310" s="13">
        <f t="shared" si="22"/>
        <v>16.211320540433668</v>
      </c>
      <c r="F310" s="13">
        <f t="shared" si="23"/>
        <v>262.80691366468653</v>
      </c>
      <c r="G310" s="5">
        <f t="shared" si="24"/>
        <v>0.27476814475311301</v>
      </c>
    </row>
    <row r="311" spans="1:7" ht="15.75" customHeight="1">
      <c r="A311" s="3">
        <v>21860</v>
      </c>
      <c r="B311" s="4">
        <v>45</v>
      </c>
      <c r="C311">
        <f t="shared" si="20"/>
        <v>54.136603837869899</v>
      </c>
      <c r="D311" s="13">
        <f t="shared" si="21"/>
        <v>-9.1366038378698988</v>
      </c>
      <c r="E311" s="13">
        <f t="shared" si="22"/>
        <v>9.1366038378698988</v>
      </c>
      <c r="F311" s="13">
        <f t="shared" si="23"/>
        <v>83.477529690178969</v>
      </c>
      <c r="G311" s="5">
        <f t="shared" si="24"/>
        <v>0.20303564084155332</v>
      </c>
    </row>
    <row r="312" spans="1:7" ht="15.75" customHeight="1">
      <c r="A312" s="3">
        <v>21861</v>
      </c>
      <c r="B312" s="4">
        <v>52</v>
      </c>
      <c r="C312">
        <f t="shared" si="20"/>
        <v>47.74098115136097</v>
      </c>
      <c r="D312" s="13">
        <f t="shared" si="21"/>
        <v>4.2590188486390304</v>
      </c>
      <c r="E312" s="13">
        <f t="shared" si="22"/>
        <v>4.2590188486390304</v>
      </c>
      <c r="F312" s="13">
        <f t="shared" si="23"/>
        <v>18.139241553062533</v>
      </c>
      <c r="G312" s="5">
        <f t="shared" si="24"/>
        <v>8.1904208627673655E-2</v>
      </c>
    </row>
    <row r="313" spans="1:7" ht="15.75" customHeight="1">
      <c r="A313" s="3">
        <v>21862</v>
      </c>
      <c r="B313" s="4">
        <v>46</v>
      </c>
      <c r="C313">
        <f t="shared" si="20"/>
        <v>50.722294345408287</v>
      </c>
      <c r="D313" s="13">
        <f t="shared" si="21"/>
        <v>-4.7222943454082866</v>
      </c>
      <c r="E313" s="13">
        <f t="shared" si="22"/>
        <v>4.7222943454082866</v>
      </c>
      <c r="F313" s="13">
        <f t="shared" si="23"/>
        <v>22.30006388467508</v>
      </c>
      <c r="G313" s="5">
        <f t="shared" si="24"/>
        <v>0.10265857272626711</v>
      </c>
    </row>
    <row r="314" spans="1:7" ht="15.75" customHeight="1">
      <c r="A314" s="3">
        <v>21863</v>
      </c>
      <c r="B314" s="4">
        <v>42</v>
      </c>
      <c r="C314">
        <f t="shared" si="20"/>
        <v>47.416688303622479</v>
      </c>
      <c r="D314" s="13">
        <f t="shared" si="21"/>
        <v>-5.4166883036224789</v>
      </c>
      <c r="E314" s="13">
        <f t="shared" si="22"/>
        <v>5.4166883036224789</v>
      </c>
      <c r="F314" s="13">
        <f t="shared" si="23"/>
        <v>29.340512178600569</v>
      </c>
      <c r="G314" s="5">
        <f t="shared" si="24"/>
        <v>0.12896876913386854</v>
      </c>
    </row>
    <row r="315" spans="1:7" ht="15.75" customHeight="1">
      <c r="A315" s="3">
        <v>21864</v>
      </c>
      <c r="B315" s="4">
        <v>40</v>
      </c>
      <c r="C315">
        <f t="shared" si="20"/>
        <v>43.625006491086744</v>
      </c>
      <c r="D315" s="13">
        <f t="shared" si="21"/>
        <v>-3.6250064910867437</v>
      </c>
      <c r="E315" s="13">
        <f t="shared" si="22"/>
        <v>3.6250064910867437</v>
      </c>
      <c r="F315" s="13">
        <f t="shared" si="23"/>
        <v>13.140672060421025</v>
      </c>
      <c r="G315" s="5">
        <f t="shared" si="24"/>
        <v>9.0625162277168589E-2</v>
      </c>
    </row>
    <row r="316" spans="1:7" ht="15.75" customHeight="1">
      <c r="A316" s="3">
        <v>21865</v>
      </c>
      <c r="B316" s="4">
        <v>40</v>
      </c>
      <c r="C316">
        <f t="shared" si="20"/>
        <v>41.087501947326025</v>
      </c>
      <c r="D316" s="13">
        <f t="shared" si="21"/>
        <v>-1.0875019473260252</v>
      </c>
      <c r="E316" s="13">
        <f t="shared" si="22"/>
        <v>1.0875019473260252</v>
      </c>
      <c r="F316" s="13">
        <f t="shared" si="23"/>
        <v>1.182660485437897</v>
      </c>
      <c r="G316" s="5">
        <f t="shared" si="24"/>
        <v>2.7187548683150632E-2</v>
      </c>
    </row>
    <row r="317" spans="1:7" ht="15.75" customHeight="1">
      <c r="A317" s="3">
        <v>21866</v>
      </c>
      <c r="B317" s="4">
        <v>45</v>
      </c>
      <c r="C317">
        <f t="shared" si="20"/>
        <v>40.326250584197808</v>
      </c>
      <c r="D317" s="13">
        <f t="shared" si="21"/>
        <v>4.6737494158021917</v>
      </c>
      <c r="E317" s="13">
        <f t="shared" si="22"/>
        <v>4.6737494158021917</v>
      </c>
      <c r="F317" s="13">
        <f t="shared" si="23"/>
        <v>21.843933601711328</v>
      </c>
      <c r="G317" s="5">
        <f t="shared" si="24"/>
        <v>0.1038610981289376</v>
      </c>
    </row>
    <row r="318" spans="1:7" ht="15.75" customHeight="1">
      <c r="A318" s="3">
        <v>21867</v>
      </c>
      <c r="B318" s="4">
        <v>35</v>
      </c>
      <c r="C318">
        <f t="shared" si="20"/>
        <v>43.59787517525934</v>
      </c>
      <c r="D318" s="13">
        <f t="shared" si="21"/>
        <v>-8.5978751752593396</v>
      </c>
      <c r="E318" s="13">
        <f t="shared" si="22"/>
        <v>8.5978751752593396</v>
      </c>
      <c r="F318" s="13">
        <f t="shared" si="23"/>
        <v>73.923457529340823</v>
      </c>
      <c r="G318" s="5">
        <f t="shared" si="24"/>
        <v>0.24565357643598112</v>
      </c>
    </row>
    <row r="319" spans="1:7" ht="15.75" customHeight="1">
      <c r="A319" s="3">
        <v>21868</v>
      </c>
      <c r="B319" s="4">
        <v>35</v>
      </c>
      <c r="C319">
        <f t="shared" si="20"/>
        <v>37.579362552577805</v>
      </c>
      <c r="D319" s="13">
        <f t="shared" si="21"/>
        <v>-2.5793625525778054</v>
      </c>
      <c r="E319" s="13">
        <f t="shared" si="22"/>
        <v>2.5793625525778054</v>
      </c>
      <c r="F319" s="13">
        <f t="shared" si="23"/>
        <v>6.6531111776406924</v>
      </c>
      <c r="G319" s="5">
        <f t="shared" si="24"/>
        <v>7.3696072930794443E-2</v>
      </c>
    </row>
    <row r="320" spans="1:7" ht="15.75" customHeight="1">
      <c r="A320" s="3">
        <v>21869</v>
      </c>
      <c r="B320" s="4">
        <v>40</v>
      </c>
      <c r="C320">
        <f t="shared" si="20"/>
        <v>35.773808765773339</v>
      </c>
      <c r="D320" s="13">
        <f t="shared" si="21"/>
        <v>4.2261912342266612</v>
      </c>
      <c r="E320" s="13">
        <f t="shared" si="22"/>
        <v>4.2261912342266612</v>
      </c>
      <c r="F320" s="13">
        <f t="shared" si="23"/>
        <v>17.860692348254268</v>
      </c>
      <c r="G320" s="5">
        <f t="shared" si="24"/>
        <v>0.10565478085566653</v>
      </c>
    </row>
    <row r="321" spans="1:7" ht="15.75" customHeight="1">
      <c r="A321" s="3">
        <v>21870</v>
      </c>
      <c r="B321" s="4">
        <v>39</v>
      </c>
      <c r="C321">
        <f t="shared" si="20"/>
        <v>38.732142629732003</v>
      </c>
      <c r="D321" s="13">
        <f t="shared" si="21"/>
        <v>0.26785737026799694</v>
      </c>
      <c r="E321" s="13">
        <f t="shared" si="22"/>
        <v>0.26785737026799694</v>
      </c>
      <c r="F321" s="13">
        <f t="shared" si="23"/>
        <v>7.1747570806886818E-2</v>
      </c>
      <c r="G321" s="5">
        <f t="shared" si="24"/>
        <v>6.8681376991794087E-3</v>
      </c>
    </row>
    <row r="322" spans="1:7" ht="15.75" customHeight="1">
      <c r="A322" s="3">
        <v>21871</v>
      </c>
      <c r="B322" s="4">
        <v>33</v>
      </c>
      <c r="C322">
        <f t="shared" si="20"/>
        <v>38.919642788919596</v>
      </c>
      <c r="D322" s="13">
        <f t="shared" si="21"/>
        <v>-5.9196427889195959</v>
      </c>
      <c r="E322" s="13">
        <f t="shared" si="22"/>
        <v>5.9196427889195959</v>
      </c>
      <c r="F322" s="13">
        <f t="shared" si="23"/>
        <v>35.04217074840777</v>
      </c>
      <c r="G322" s="5">
        <f t="shared" si="24"/>
        <v>0.17938311481574534</v>
      </c>
    </row>
    <row r="323" spans="1:7" ht="15.75" customHeight="1">
      <c r="A323" s="3">
        <v>21872</v>
      </c>
      <c r="B323" s="4">
        <v>42</v>
      </c>
      <c r="C323">
        <f t="shared" si="20"/>
        <v>34.775892836675879</v>
      </c>
      <c r="D323" s="13">
        <f t="shared" si="21"/>
        <v>7.2241071633241205</v>
      </c>
      <c r="E323" s="13">
        <f t="shared" si="22"/>
        <v>7.2241071633241205</v>
      </c>
      <c r="F323" s="13">
        <f t="shared" si="23"/>
        <v>52.187724307190869</v>
      </c>
      <c r="G323" s="5">
        <f t="shared" si="24"/>
        <v>0.17200255150771715</v>
      </c>
    </row>
    <row r="324" spans="1:7" ht="15.75" customHeight="1">
      <c r="A324" s="3">
        <v>21873</v>
      </c>
      <c r="B324" s="4">
        <v>47</v>
      </c>
      <c r="C324">
        <f t="shared" ref="C324:C366" si="25">0.7*B323+0.3*C323</f>
        <v>39.832767851002764</v>
      </c>
      <c r="D324" s="13">
        <f t="shared" ref="D324:D366" si="26">B324-C324</f>
        <v>7.1672321489972362</v>
      </c>
      <c r="E324" s="13">
        <f t="shared" ref="E324:E366" si="27">ABS(D324)</f>
        <v>7.1672321489972362</v>
      </c>
      <c r="F324" s="13">
        <f t="shared" ref="F324:F366" si="28">E324^2</f>
        <v>51.369216677619541</v>
      </c>
      <c r="G324" s="5">
        <f t="shared" ref="G324:G366" si="29">E324/B324</f>
        <v>0.1524943010424944</v>
      </c>
    </row>
    <row r="325" spans="1:7" ht="15.75" customHeight="1">
      <c r="A325" s="3">
        <v>21874</v>
      </c>
      <c r="B325" s="4">
        <v>51</v>
      </c>
      <c r="C325">
        <f t="shared" si="25"/>
        <v>44.849830355300824</v>
      </c>
      <c r="D325" s="13">
        <f t="shared" si="26"/>
        <v>6.1501696446991758</v>
      </c>
      <c r="E325" s="13">
        <f t="shared" si="27"/>
        <v>6.1501696446991758</v>
      </c>
      <c r="F325" s="13">
        <f t="shared" si="28"/>
        <v>37.824586658579186</v>
      </c>
      <c r="G325" s="5">
        <f t="shared" si="29"/>
        <v>0.12059156166076815</v>
      </c>
    </row>
    <row r="326" spans="1:7" ht="15.75" customHeight="1">
      <c r="A326" s="3">
        <v>21875</v>
      </c>
      <c r="B326" s="4">
        <v>44</v>
      </c>
      <c r="C326">
        <f t="shared" si="25"/>
        <v>49.154949106590244</v>
      </c>
      <c r="D326" s="13">
        <f t="shared" si="26"/>
        <v>-5.1549491065902444</v>
      </c>
      <c r="E326" s="13">
        <f t="shared" si="27"/>
        <v>5.1549491065902444</v>
      </c>
      <c r="F326" s="13">
        <f t="shared" si="28"/>
        <v>26.573500291535559</v>
      </c>
      <c r="G326" s="5">
        <f t="shared" si="29"/>
        <v>0.11715793424068738</v>
      </c>
    </row>
    <row r="327" spans="1:7" ht="15.75" customHeight="1">
      <c r="A327" s="3">
        <v>21876</v>
      </c>
      <c r="B327" s="4">
        <v>40</v>
      </c>
      <c r="C327">
        <f t="shared" si="25"/>
        <v>45.546484731977074</v>
      </c>
      <c r="D327" s="13">
        <f t="shared" si="26"/>
        <v>-5.546484731977074</v>
      </c>
      <c r="E327" s="13">
        <f t="shared" si="27"/>
        <v>5.546484731977074</v>
      </c>
      <c r="F327" s="13">
        <f t="shared" si="28"/>
        <v>30.763492882054795</v>
      </c>
      <c r="G327" s="5">
        <f t="shared" si="29"/>
        <v>0.13866211829942685</v>
      </c>
    </row>
    <row r="328" spans="1:7" ht="15.75" customHeight="1">
      <c r="A328" s="3">
        <v>21877</v>
      </c>
      <c r="B328" s="4">
        <v>57</v>
      </c>
      <c r="C328">
        <f t="shared" si="25"/>
        <v>41.663945419593119</v>
      </c>
      <c r="D328" s="13">
        <f t="shared" si="26"/>
        <v>15.336054580406881</v>
      </c>
      <c r="E328" s="13">
        <f t="shared" si="27"/>
        <v>15.336054580406881</v>
      </c>
      <c r="F328" s="13">
        <f t="shared" si="28"/>
        <v>235.19457009321886</v>
      </c>
      <c r="G328" s="5">
        <f t="shared" si="29"/>
        <v>0.26905358912994526</v>
      </c>
    </row>
    <row r="329" spans="1:7" ht="15.75" customHeight="1">
      <c r="A329" s="3">
        <v>21878</v>
      </c>
      <c r="B329" s="4">
        <v>49</v>
      </c>
      <c r="C329">
        <f t="shared" si="25"/>
        <v>52.399183625877932</v>
      </c>
      <c r="D329" s="13">
        <f t="shared" si="26"/>
        <v>-3.3991836258779315</v>
      </c>
      <c r="E329" s="13">
        <f t="shared" si="27"/>
        <v>3.3991836258779315</v>
      </c>
      <c r="F329" s="13">
        <f t="shared" si="28"/>
        <v>11.554449322436641</v>
      </c>
      <c r="G329" s="5">
        <f t="shared" si="29"/>
        <v>6.9371094405672074E-2</v>
      </c>
    </row>
    <row r="330" spans="1:7" ht="15.75" customHeight="1">
      <c r="A330" s="3">
        <v>21879</v>
      </c>
      <c r="B330" s="4">
        <v>45</v>
      </c>
      <c r="C330">
        <f t="shared" si="25"/>
        <v>50.019755087763372</v>
      </c>
      <c r="D330" s="13">
        <f t="shared" si="26"/>
        <v>-5.0197550877633716</v>
      </c>
      <c r="E330" s="13">
        <f t="shared" si="27"/>
        <v>5.0197550877633716</v>
      </c>
      <c r="F330" s="13">
        <f t="shared" si="28"/>
        <v>25.197941141126254</v>
      </c>
      <c r="G330" s="5">
        <f t="shared" si="29"/>
        <v>0.11155011306140826</v>
      </c>
    </row>
    <row r="331" spans="1:7" ht="15.75" customHeight="1">
      <c r="A331" s="3">
        <v>21880</v>
      </c>
      <c r="B331" s="4">
        <v>49</v>
      </c>
      <c r="C331">
        <f t="shared" si="25"/>
        <v>46.505926526329006</v>
      </c>
      <c r="D331" s="13">
        <f t="shared" si="26"/>
        <v>2.4940734736709942</v>
      </c>
      <c r="E331" s="13">
        <f t="shared" si="27"/>
        <v>2.4940734736709942</v>
      </c>
      <c r="F331" s="13">
        <f t="shared" si="28"/>
        <v>6.2204024920692991</v>
      </c>
      <c r="G331" s="5">
        <f t="shared" si="29"/>
        <v>5.0899458646346818E-2</v>
      </c>
    </row>
    <row r="332" spans="1:7" ht="15.75" customHeight="1">
      <c r="A332" s="3">
        <v>21881</v>
      </c>
      <c r="B332" s="4">
        <v>51</v>
      </c>
      <c r="C332">
        <f t="shared" si="25"/>
        <v>48.251777957898696</v>
      </c>
      <c r="D332" s="13">
        <f t="shared" si="26"/>
        <v>2.7482220421013039</v>
      </c>
      <c r="E332" s="13">
        <f t="shared" si="27"/>
        <v>2.7482220421013039</v>
      </c>
      <c r="F332" s="13">
        <f t="shared" si="28"/>
        <v>7.5527243926914611</v>
      </c>
      <c r="G332" s="5">
        <f t="shared" si="29"/>
        <v>5.3886706707868708E-2</v>
      </c>
    </row>
    <row r="333" spans="1:7" ht="15.75" customHeight="1">
      <c r="A333" s="3">
        <v>21882</v>
      </c>
      <c r="B333" s="4">
        <v>46</v>
      </c>
      <c r="C333">
        <f t="shared" si="25"/>
        <v>50.175533387369605</v>
      </c>
      <c r="D333" s="13">
        <f t="shared" si="26"/>
        <v>-4.1755333873696046</v>
      </c>
      <c r="E333" s="13">
        <f t="shared" si="27"/>
        <v>4.1755333873696046</v>
      </c>
      <c r="F333" s="13">
        <f t="shared" si="28"/>
        <v>17.435079069038284</v>
      </c>
      <c r="G333" s="5">
        <f t="shared" si="29"/>
        <v>9.0772464942817488E-2</v>
      </c>
    </row>
    <row r="334" spans="1:7" ht="15.75" customHeight="1">
      <c r="A334" s="3">
        <v>21883</v>
      </c>
      <c r="B334" s="4">
        <v>44</v>
      </c>
      <c r="C334">
        <f t="shared" si="25"/>
        <v>47.252660016210875</v>
      </c>
      <c r="D334" s="13">
        <f t="shared" si="26"/>
        <v>-3.252660016210875</v>
      </c>
      <c r="E334" s="13">
        <f t="shared" si="27"/>
        <v>3.252660016210875</v>
      </c>
      <c r="F334" s="13">
        <f t="shared" si="28"/>
        <v>10.579797181056929</v>
      </c>
      <c r="G334" s="5">
        <f t="shared" si="29"/>
        <v>7.3924091277519879E-2</v>
      </c>
    </row>
    <row r="335" spans="1:7" ht="15.75" customHeight="1">
      <c r="A335" s="3">
        <v>21884</v>
      </c>
      <c r="B335" s="4">
        <v>52</v>
      </c>
      <c r="C335">
        <f t="shared" si="25"/>
        <v>44.975798004863258</v>
      </c>
      <c r="D335" s="13">
        <f t="shared" si="26"/>
        <v>7.0242019951367425</v>
      </c>
      <c r="E335" s="13">
        <f t="shared" si="27"/>
        <v>7.0242019951367425</v>
      </c>
      <c r="F335" s="13">
        <f t="shared" si="28"/>
        <v>49.33941366848299</v>
      </c>
      <c r="G335" s="5">
        <f t="shared" si="29"/>
        <v>0.13508080759878352</v>
      </c>
    </row>
    <row r="336" spans="1:7" ht="15.75" customHeight="1">
      <c r="A336" s="3">
        <v>21885</v>
      </c>
      <c r="B336" s="4">
        <v>45</v>
      </c>
      <c r="C336">
        <f t="shared" si="25"/>
        <v>49.892739401458975</v>
      </c>
      <c r="D336" s="13">
        <f t="shared" si="26"/>
        <v>-4.8927394014589751</v>
      </c>
      <c r="E336" s="13">
        <f t="shared" si="27"/>
        <v>4.8927394014589751</v>
      </c>
      <c r="F336" s="13">
        <f t="shared" si="28"/>
        <v>23.93889885058913</v>
      </c>
      <c r="G336" s="5">
        <f t="shared" si="29"/>
        <v>0.10872754225464389</v>
      </c>
    </row>
    <row r="337" spans="1:7" ht="15.75" customHeight="1">
      <c r="A337" s="3">
        <v>21886</v>
      </c>
      <c r="B337" s="4">
        <v>32</v>
      </c>
      <c r="C337">
        <f t="shared" si="25"/>
        <v>46.467821820437692</v>
      </c>
      <c r="D337" s="13">
        <f t="shared" si="26"/>
        <v>-14.467821820437692</v>
      </c>
      <c r="E337" s="13">
        <f t="shared" si="27"/>
        <v>14.467821820437692</v>
      </c>
      <c r="F337" s="13">
        <f t="shared" si="28"/>
        <v>209.31786822793302</v>
      </c>
      <c r="G337" s="5">
        <f t="shared" si="29"/>
        <v>0.45211943188867787</v>
      </c>
    </row>
    <row r="338" spans="1:7" ht="15.75" customHeight="1">
      <c r="A338" s="3">
        <v>21887</v>
      </c>
      <c r="B338" s="4">
        <v>46</v>
      </c>
      <c r="C338">
        <f t="shared" si="25"/>
        <v>36.340346546131308</v>
      </c>
      <c r="D338" s="13">
        <f t="shared" si="26"/>
        <v>9.6596534538686925</v>
      </c>
      <c r="E338" s="13">
        <f t="shared" si="27"/>
        <v>9.6596534538686925</v>
      </c>
      <c r="F338" s="13">
        <f t="shared" si="28"/>
        <v>93.308904848837358</v>
      </c>
      <c r="G338" s="5">
        <f t="shared" si="29"/>
        <v>0.20999246638844984</v>
      </c>
    </row>
    <row r="339" spans="1:7" ht="15.75" customHeight="1">
      <c r="A339" s="3">
        <v>21888</v>
      </c>
      <c r="B339" s="4">
        <v>41</v>
      </c>
      <c r="C339">
        <f t="shared" si="25"/>
        <v>43.10210396383939</v>
      </c>
      <c r="D339" s="13">
        <f t="shared" si="26"/>
        <v>-2.1021039638393901</v>
      </c>
      <c r="E339" s="13">
        <f t="shared" si="27"/>
        <v>2.1021039638393901</v>
      </c>
      <c r="F339" s="13">
        <f t="shared" si="28"/>
        <v>4.4188410747892757</v>
      </c>
      <c r="G339" s="5">
        <f t="shared" si="29"/>
        <v>5.1270828386326586E-2</v>
      </c>
    </row>
    <row r="340" spans="1:7" ht="15.75" customHeight="1">
      <c r="A340" s="3">
        <v>21889</v>
      </c>
      <c r="B340" s="4">
        <v>34</v>
      </c>
      <c r="C340">
        <f t="shared" si="25"/>
        <v>41.630631189151813</v>
      </c>
      <c r="D340" s="13">
        <f t="shared" si="26"/>
        <v>-7.6306311891518135</v>
      </c>
      <c r="E340" s="13">
        <f t="shared" si="27"/>
        <v>7.6306311891518135</v>
      </c>
      <c r="F340" s="13">
        <f t="shared" si="28"/>
        <v>58.226532344856416</v>
      </c>
      <c r="G340" s="5">
        <f t="shared" si="29"/>
        <v>0.22443032909270039</v>
      </c>
    </row>
    <row r="341" spans="1:7" ht="15.75" customHeight="1">
      <c r="A341" s="3">
        <v>21890</v>
      </c>
      <c r="B341" s="4">
        <v>33</v>
      </c>
      <c r="C341">
        <f t="shared" si="25"/>
        <v>36.289189356745538</v>
      </c>
      <c r="D341" s="13">
        <f t="shared" si="26"/>
        <v>-3.2891893567455384</v>
      </c>
      <c r="E341" s="13">
        <f t="shared" si="27"/>
        <v>3.2891893567455384</v>
      </c>
      <c r="F341" s="13">
        <f t="shared" si="28"/>
        <v>10.818766624528129</v>
      </c>
      <c r="G341" s="5">
        <f t="shared" si="29"/>
        <v>9.9672404749864801E-2</v>
      </c>
    </row>
    <row r="342" spans="1:7" ht="15.75" customHeight="1">
      <c r="A342" s="3">
        <v>21891</v>
      </c>
      <c r="B342" s="4">
        <v>36</v>
      </c>
      <c r="C342">
        <f t="shared" si="25"/>
        <v>33.98675680702366</v>
      </c>
      <c r="D342" s="13">
        <f t="shared" si="26"/>
        <v>2.0132431929763399</v>
      </c>
      <c r="E342" s="13">
        <f t="shared" si="27"/>
        <v>2.0132431929763399</v>
      </c>
      <c r="F342" s="13">
        <f t="shared" si="28"/>
        <v>4.0531481540655685</v>
      </c>
      <c r="G342" s="5">
        <f t="shared" si="29"/>
        <v>5.5923422027120556E-2</v>
      </c>
    </row>
    <row r="343" spans="1:7" ht="15.75" customHeight="1">
      <c r="A343" s="3">
        <v>21892</v>
      </c>
      <c r="B343" s="4">
        <v>49</v>
      </c>
      <c r="C343">
        <f t="shared" si="25"/>
        <v>35.396027042107093</v>
      </c>
      <c r="D343" s="13">
        <f t="shared" si="26"/>
        <v>13.603972957892907</v>
      </c>
      <c r="E343" s="13">
        <f t="shared" si="27"/>
        <v>13.603972957892907</v>
      </c>
      <c r="F343" s="13">
        <f t="shared" si="28"/>
        <v>185.0680802390815</v>
      </c>
      <c r="G343" s="5">
        <f t="shared" si="29"/>
        <v>0.2776321011814879</v>
      </c>
    </row>
    <row r="344" spans="1:7" ht="15.75" customHeight="1">
      <c r="A344" s="3">
        <v>21893</v>
      </c>
      <c r="B344" s="4">
        <v>43</v>
      </c>
      <c r="C344">
        <f t="shared" si="25"/>
        <v>44.918808112632121</v>
      </c>
      <c r="D344" s="13">
        <f t="shared" si="26"/>
        <v>-1.9188081126321208</v>
      </c>
      <c r="E344" s="13">
        <f t="shared" si="27"/>
        <v>1.9188081126321208</v>
      </c>
      <c r="F344" s="13">
        <f t="shared" si="28"/>
        <v>3.6818245731028418</v>
      </c>
      <c r="G344" s="5">
        <f t="shared" si="29"/>
        <v>4.4623444479816761E-2</v>
      </c>
    </row>
    <row r="345" spans="1:7" ht="15.75" customHeight="1">
      <c r="A345" s="3">
        <v>21894</v>
      </c>
      <c r="B345" s="4">
        <v>43</v>
      </c>
      <c r="C345">
        <f t="shared" si="25"/>
        <v>43.575642433789632</v>
      </c>
      <c r="D345" s="13">
        <f t="shared" si="26"/>
        <v>-0.57564243378963198</v>
      </c>
      <c r="E345" s="13">
        <f t="shared" si="27"/>
        <v>0.57564243378963198</v>
      </c>
      <c r="F345" s="13">
        <f t="shared" si="28"/>
        <v>0.33136421157925083</v>
      </c>
      <c r="G345" s="5">
        <f t="shared" si="29"/>
        <v>1.3387033343944929E-2</v>
      </c>
    </row>
    <row r="346" spans="1:7" ht="15.75" customHeight="1">
      <c r="A346" s="3">
        <v>21895</v>
      </c>
      <c r="B346" s="4">
        <v>34</v>
      </c>
      <c r="C346">
        <f t="shared" si="25"/>
        <v>43.172692730136887</v>
      </c>
      <c r="D346" s="13">
        <f t="shared" si="26"/>
        <v>-9.1726927301368875</v>
      </c>
      <c r="E346" s="13">
        <f t="shared" si="27"/>
        <v>9.1726927301368875</v>
      </c>
      <c r="F346" s="13">
        <f t="shared" si="28"/>
        <v>84.138291921506109</v>
      </c>
      <c r="G346" s="5">
        <f t="shared" si="29"/>
        <v>0.26978508029814374</v>
      </c>
    </row>
    <row r="347" spans="1:7" ht="15.75" customHeight="1">
      <c r="A347" s="3">
        <v>21896</v>
      </c>
      <c r="B347" s="4">
        <v>39</v>
      </c>
      <c r="C347">
        <f t="shared" si="25"/>
        <v>36.751807819041062</v>
      </c>
      <c r="D347" s="13">
        <f t="shared" si="26"/>
        <v>2.248192180958938</v>
      </c>
      <c r="E347" s="13">
        <f t="shared" si="27"/>
        <v>2.248192180958938</v>
      </c>
      <c r="F347" s="13">
        <f t="shared" si="28"/>
        <v>5.0543680825249062</v>
      </c>
      <c r="G347" s="5">
        <f t="shared" si="29"/>
        <v>5.7645953357921491E-2</v>
      </c>
    </row>
    <row r="348" spans="1:7" ht="15.75" customHeight="1">
      <c r="A348" s="3">
        <v>21897</v>
      </c>
      <c r="B348" s="4">
        <v>35</v>
      </c>
      <c r="C348">
        <f t="shared" si="25"/>
        <v>38.325542345712314</v>
      </c>
      <c r="D348" s="13">
        <f t="shared" si="26"/>
        <v>-3.3255423457123143</v>
      </c>
      <c r="E348" s="13">
        <f t="shared" si="27"/>
        <v>3.3255423457123143</v>
      </c>
      <c r="F348" s="13">
        <f t="shared" si="28"/>
        <v>11.059231893125762</v>
      </c>
      <c r="G348" s="5">
        <f t="shared" si="29"/>
        <v>9.5015495591780408E-2</v>
      </c>
    </row>
    <row r="349" spans="1:7" ht="15.75" customHeight="1">
      <c r="A349" s="3">
        <v>21898</v>
      </c>
      <c r="B349" s="4">
        <v>52</v>
      </c>
      <c r="C349">
        <f t="shared" si="25"/>
        <v>35.997662703713694</v>
      </c>
      <c r="D349" s="13">
        <f t="shared" si="26"/>
        <v>16.002337296286306</v>
      </c>
      <c r="E349" s="13">
        <f t="shared" si="27"/>
        <v>16.002337296286306</v>
      </c>
      <c r="F349" s="13">
        <f t="shared" si="28"/>
        <v>256.07479894411574</v>
      </c>
      <c r="G349" s="5">
        <f t="shared" si="29"/>
        <v>0.30773725569781357</v>
      </c>
    </row>
    <row r="350" spans="1:7" ht="15.75" customHeight="1">
      <c r="A350" s="3">
        <v>21899</v>
      </c>
      <c r="B350" s="4">
        <v>47</v>
      </c>
      <c r="C350">
        <f t="shared" si="25"/>
        <v>47.199298811114105</v>
      </c>
      <c r="D350" s="13">
        <f t="shared" si="26"/>
        <v>-0.19929881111410452</v>
      </c>
      <c r="E350" s="13">
        <f t="shared" si="27"/>
        <v>0.19929881111410452</v>
      </c>
      <c r="F350" s="13">
        <f t="shared" si="28"/>
        <v>3.9720016111495511E-2</v>
      </c>
      <c r="G350" s="5">
        <f t="shared" si="29"/>
        <v>4.2404002364703087E-3</v>
      </c>
    </row>
    <row r="351" spans="1:7" ht="15.75" customHeight="1">
      <c r="A351" s="3">
        <v>21900</v>
      </c>
      <c r="B351" s="4">
        <v>52</v>
      </c>
      <c r="C351">
        <f t="shared" si="25"/>
        <v>47.059789643334227</v>
      </c>
      <c r="D351" s="13">
        <f t="shared" si="26"/>
        <v>4.9402103566657729</v>
      </c>
      <c r="E351" s="13">
        <f t="shared" si="27"/>
        <v>4.9402103566657729</v>
      </c>
      <c r="F351" s="13">
        <f t="shared" si="28"/>
        <v>24.405678368107765</v>
      </c>
      <c r="G351" s="5">
        <f t="shared" si="29"/>
        <v>9.5004045320495639E-2</v>
      </c>
    </row>
    <row r="352" spans="1:7" ht="15.75" customHeight="1">
      <c r="A352" s="3">
        <v>21901</v>
      </c>
      <c r="B352" s="4">
        <v>39</v>
      </c>
      <c r="C352">
        <f t="shared" si="25"/>
        <v>50.517936893000268</v>
      </c>
      <c r="D352" s="13">
        <f t="shared" si="26"/>
        <v>-11.517936893000268</v>
      </c>
      <c r="E352" s="13">
        <f t="shared" si="27"/>
        <v>11.517936893000268</v>
      </c>
      <c r="F352" s="13">
        <f t="shared" si="28"/>
        <v>132.66287027113668</v>
      </c>
      <c r="G352" s="5">
        <f t="shared" si="29"/>
        <v>0.29533171520513507</v>
      </c>
    </row>
    <row r="353" spans="1:7" ht="15.75" customHeight="1">
      <c r="A353" s="3">
        <v>21902</v>
      </c>
      <c r="B353" s="4">
        <v>40</v>
      </c>
      <c r="C353">
        <f t="shared" si="25"/>
        <v>42.455381067900078</v>
      </c>
      <c r="D353" s="13">
        <f t="shared" si="26"/>
        <v>-2.4553810679000776</v>
      </c>
      <c r="E353" s="13">
        <f t="shared" si="27"/>
        <v>2.4553810679000776</v>
      </c>
      <c r="F353" s="13">
        <f t="shared" si="28"/>
        <v>6.0288961886021255</v>
      </c>
      <c r="G353" s="5">
        <f t="shared" si="29"/>
        <v>6.138452669750194E-2</v>
      </c>
    </row>
    <row r="354" spans="1:7" ht="15.75" customHeight="1">
      <c r="A354" s="3">
        <v>21903</v>
      </c>
      <c r="B354" s="4">
        <v>42</v>
      </c>
      <c r="C354">
        <f t="shared" si="25"/>
        <v>40.736614320370023</v>
      </c>
      <c r="D354" s="13">
        <f t="shared" si="26"/>
        <v>1.2633856796299767</v>
      </c>
      <c r="E354" s="13">
        <f t="shared" si="27"/>
        <v>1.2633856796299767</v>
      </c>
      <c r="F354" s="13">
        <f t="shared" si="28"/>
        <v>1.5961433754940981</v>
      </c>
      <c r="G354" s="5">
        <f t="shared" si="29"/>
        <v>3.0080611419761351E-2</v>
      </c>
    </row>
    <row r="355" spans="1:7" ht="15.75" customHeight="1">
      <c r="A355" s="3">
        <v>21904</v>
      </c>
      <c r="B355" s="4">
        <v>42</v>
      </c>
      <c r="C355">
        <f t="shared" si="25"/>
        <v>41.620984296111004</v>
      </c>
      <c r="D355" s="13">
        <f t="shared" si="26"/>
        <v>0.37901570388899586</v>
      </c>
      <c r="E355" s="13">
        <f t="shared" si="27"/>
        <v>0.37901570388899586</v>
      </c>
      <c r="F355" s="13">
        <f t="shared" si="28"/>
        <v>0.14365290379447099</v>
      </c>
      <c r="G355" s="5">
        <f t="shared" si="29"/>
        <v>9.0241834259284729E-3</v>
      </c>
    </row>
    <row r="356" spans="1:7" ht="15.75" customHeight="1">
      <c r="A356" s="3">
        <v>21905</v>
      </c>
      <c r="B356" s="4">
        <v>53</v>
      </c>
      <c r="C356">
        <f t="shared" si="25"/>
        <v>41.886295288833296</v>
      </c>
      <c r="D356" s="13">
        <f t="shared" si="26"/>
        <v>11.113704711166704</v>
      </c>
      <c r="E356" s="13">
        <f t="shared" si="27"/>
        <v>11.113704711166704</v>
      </c>
      <c r="F356" s="13">
        <f t="shared" si="28"/>
        <v>123.514432407009</v>
      </c>
      <c r="G356" s="5">
        <f t="shared" si="29"/>
        <v>0.2096925417201265</v>
      </c>
    </row>
    <row r="357" spans="1:7" ht="15.75" customHeight="1">
      <c r="A357" s="3">
        <v>21906</v>
      </c>
      <c r="B357" s="4">
        <v>39</v>
      </c>
      <c r="C357">
        <f t="shared" si="25"/>
        <v>49.665888586649984</v>
      </c>
      <c r="D357" s="13">
        <f t="shared" si="26"/>
        <v>-10.665888586649984</v>
      </c>
      <c r="E357" s="13">
        <f t="shared" si="27"/>
        <v>10.665888586649984</v>
      </c>
      <c r="F357" s="13">
        <f t="shared" si="28"/>
        <v>113.7611793428304</v>
      </c>
      <c r="G357" s="5">
        <f t="shared" si="29"/>
        <v>0.27348432273461498</v>
      </c>
    </row>
    <row r="358" spans="1:7" ht="15.75" customHeight="1">
      <c r="A358" s="3">
        <v>21907</v>
      </c>
      <c r="B358" s="4">
        <v>40</v>
      </c>
      <c r="C358">
        <f t="shared" si="25"/>
        <v>42.199766575994992</v>
      </c>
      <c r="D358" s="13">
        <f t="shared" si="26"/>
        <v>-2.1997665759949925</v>
      </c>
      <c r="E358" s="13">
        <f t="shared" si="27"/>
        <v>2.1997665759949925</v>
      </c>
      <c r="F358" s="13">
        <f t="shared" si="28"/>
        <v>4.8389729888647333</v>
      </c>
      <c r="G358" s="5">
        <f t="shared" si="29"/>
        <v>5.4994164399874812E-2</v>
      </c>
    </row>
    <row r="359" spans="1:7" ht="15.75" customHeight="1">
      <c r="A359" s="3">
        <v>21908</v>
      </c>
      <c r="B359" s="4">
        <v>38</v>
      </c>
      <c r="C359">
        <f t="shared" si="25"/>
        <v>40.659929972798494</v>
      </c>
      <c r="D359" s="13">
        <f t="shared" si="26"/>
        <v>-2.6599299727984942</v>
      </c>
      <c r="E359" s="13">
        <f t="shared" si="27"/>
        <v>2.6599299727984942</v>
      </c>
      <c r="F359" s="13">
        <f t="shared" si="28"/>
        <v>7.0752274601917984</v>
      </c>
      <c r="G359" s="5">
        <f t="shared" si="29"/>
        <v>6.9998157178907741E-2</v>
      </c>
    </row>
    <row r="360" spans="1:7" ht="15.75" customHeight="1">
      <c r="A360" s="3">
        <v>21909</v>
      </c>
      <c r="B360" s="4">
        <v>44</v>
      </c>
      <c r="C360">
        <f t="shared" si="25"/>
        <v>38.797978991839543</v>
      </c>
      <c r="D360" s="13">
        <f t="shared" si="26"/>
        <v>5.2020210081604574</v>
      </c>
      <c r="E360" s="13">
        <f t="shared" si="27"/>
        <v>5.2020210081604574</v>
      </c>
      <c r="F360" s="13">
        <f t="shared" si="28"/>
        <v>27.061022569342743</v>
      </c>
      <c r="G360" s="5">
        <f t="shared" si="29"/>
        <v>0.11822775018546494</v>
      </c>
    </row>
    <row r="361" spans="1:7" ht="15.75" customHeight="1">
      <c r="A361" s="3">
        <v>21910</v>
      </c>
      <c r="B361" s="4">
        <v>34</v>
      </c>
      <c r="C361">
        <f t="shared" si="25"/>
        <v>42.439393697551857</v>
      </c>
      <c r="D361" s="13">
        <f t="shared" si="26"/>
        <v>-8.4393936975518571</v>
      </c>
      <c r="E361" s="13">
        <f t="shared" si="27"/>
        <v>8.4393936975518571</v>
      </c>
      <c r="F361" s="13">
        <f t="shared" si="28"/>
        <v>71.223365982278011</v>
      </c>
      <c r="G361" s="5">
        <f t="shared" si="29"/>
        <v>0.24821746169270167</v>
      </c>
    </row>
    <row r="362" spans="1:7" ht="15.75" customHeight="1">
      <c r="A362" s="3">
        <v>21911</v>
      </c>
      <c r="B362" s="4">
        <v>37</v>
      </c>
      <c r="C362">
        <f t="shared" si="25"/>
        <v>36.531818109265558</v>
      </c>
      <c r="D362" s="13">
        <f t="shared" si="26"/>
        <v>0.46818189073444216</v>
      </c>
      <c r="E362" s="13">
        <f t="shared" si="27"/>
        <v>0.46818189073444216</v>
      </c>
      <c r="F362" s="13">
        <f t="shared" si="28"/>
        <v>0.21919428281167713</v>
      </c>
      <c r="G362" s="5">
        <f t="shared" si="29"/>
        <v>1.2653564614444383E-2</v>
      </c>
    </row>
    <row r="363" spans="1:7" ht="15.75" customHeight="1">
      <c r="A363" s="3">
        <v>21912</v>
      </c>
      <c r="B363" s="4">
        <v>52</v>
      </c>
      <c r="C363">
        <f t="shared" si="25"/>
        <v>36.859545432779669</v>
      </c>
      <c r="D363" s="13">
        <f t="shared" si="26"/>
        <v>15.140454567220331</v>
      </c>
      <c r="E363" s="13">
        <f t="shared" si="27"/>
        <v>15.140454567220331</v>
      </c>
      <c r="F363" s="13">
        <f t="shared" si="28"/>
        <v>229.23336450206298</v>
      </c>
      <c r="G363" s="5">
        <f t="shared" si="29"/>
        <v>0.29116258783116022</v>
      </c>
    </row>
    <row r="364" spans="1:7" ht="15.75" customHeight="1">
      <c r="A364" s="3">
        <v>21913</v>
      </c>
      <c r="B364" s="4">
        <v>48</v>
      </c>
      <c r="C364">
        <f t="shared" si="25"/>
        <v>47.457863629833895</v>
      </c>
      <c r="D364" s="13">
        <f t="shared" si="26"/>
        <v>0.54213637016610505</v>
      </c>
      <c r="E364" s="13">
        <f t="shared" si="27"/>
        <v>0.54213637016610505</v>
      </c>
      <c r="F364" s="13">
        <f t="shared" si="28"/>
        <v>0.29391184385688007</v>
      </c>
      <c r="G364" s="5">
        <f t="shared" si="29"/>
        <v>1.1294507711793855E-2</v>
      </c>
    </row>
    <row r="365" spans="1:7" ht="15.75" customHeight="1">
      <c r="A365" s="3">
        <v>21914</v>
      </c>
      <c r="B365" s="4">
        <v>55</v>
      </c>
      <c r="C365">
        <f t="shared" si="25"/>
        <v>47.837359088950166</v>
      </c>
      <c r="D365" s="13">
        <f t="shared" si="26"/>
        <v>7.1626409110498344</v>
      </c>
      <c r="E365" s="13">
        <f t="shared" si="27"/>
        <v>7.1626409110498344</v>
      </c>
      <c r="F365" s="13">
        <f t="shared" si="28"/>
        <v>51.3034248206448</v>
      </c>
      <c r="G365" s="5">
        <f t="shared" si="29"/>
        <v>0.13022983474636063</v>
      </c>
    </row>
    <row r="366" spans="1:7" ht="15.75" customHeight="1">
      <c r="A366" s="3">
        <v>21915</v>
      </c>
      <c r="B366" s="4">
        <v>50</v>
      </c>
      <c r="C366">
        <f t="shared" si="25"/>
        <v>52.851207726685047</v>
      </c>
      <c r="D366" s="13">
        <f t="shared" si="26"/>
        <v>-2.8512077266850469</v>
      </c>
      <c r="E366" s="13">
        <f t="shared" si="27"/>
        <v>2.8512077266850469</v>
      </c>
      <c r="F366" s="13">
        <f t="shared" si="28"/>
        <v>8.1293855007085121</v>
      </c>
      <c r="G366" s="5">
        <f t="shared" si="29"/>
        <v>5.7024154533700938E-2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K9" sqref="K9"/>
    </sheetView>
  </sheetViews>
  <sheetFormatPr defaultColWidth="11.25" defaultRowHeight="15" customHeight="1"/>
  <cols>
    <col min="1" max="2" width="11" customWidth="1"/>
    <col min="3" max="3" width="11.625" customWidth="1"/>
    <col min="4" max="4" width="14.625" customWidth="1"/>
    <col min="5" max="6" width="12.875" customWidth="1"/>
    <col min="7" max="7" width="20.125" customWidth="1"/>
    <col min="8" max="8" width="22.875" customWidth="1"/>
    <col min="9" max="10" width="11" customWidth="1"/>
    <col min="11" max="11" width="20.375" customWidth="1"/>
    <col min="12" max="26" width="11" customWidth="1"/>
  </cols>
  <sheetData>
    <row r="1" spans="1:11" ht="15.75" customHeight="1">
      <c r="A1" s="2" t="s">
        <v>15</v>
      </c>
      <c r="B1" s="1" t="s">
        <v>0</v>
      </c>
      <c r="C1" s="2" t="s">
        <v>1</v>
      </c>
      <c r="D1" s="11" t="s">
        <v>16</v>
      </c>
      <c r="E1" s="12" t="s">
        <v>14</v>
      </c>
      <c r="F1" s="2" t="s">
        <v>4</v>
      </c>
      <c r="G1" s="2" t="s">
        <v>5</v>
      </c>
      <c r="H1" s="2" t="s">
        <v>6</v>
      </c>
    </row>
    <row r="2" spans="1:11" ht="15.75" customHeight="1">
      <c r="A2" s="4">
        <v>1</v>
      </c>
      <c r="B2" s="3">
        <v>21551</v>
      </c>
      <c r="C2" s="4">
        <v>35</v>
      </c>
      <c r="D2" s="13">
        <f>_xlfn.FORECAST.LINEAR(A2,$C$2:$C$366,$A$2:$A$366)</f>
        <v>38.507433191107125</v>
      </c>
      <c r="E2" s="13">
        <f t="shared" ref="E2:E65" si="0">C2-solver_opt</f>
        <v>-3.5074331911071255</v>
      </c>
      <c r="F2" s="13">
        <f>ABS(E2)</f>
        <v>3.5074331911071255</v>
      </c>
      <c r="G2" s="13">
        <f>F2^2</f>
        <v>12.302087590079914</v>
      </c>
      <c r="H2" s="5">
        <f>F2/C2</f>
        <v>0.10021237688877502</v>
      </c>
    </row>
    <row r="3" spans="1:11" ht="15.75" customHeight="1">
      <c r="A3" s="4">
        <v>2</v>
      </c>
      <c r="B3" s="3">
        <v>21552</v>
      </c>
      <c r="C3" s="4">
        <v>32</v>
      </c>
      <c r="D3" s="13">
        <f>_xlfn.FORECAST.LINEAR(A3,$C$2:$C$366,$A$2:$A$366)</f>
        <v>38.526517744550539</v>
      </c>
      <c r="E3" s="13">
        <f t="shared" si="0"/>
        <v>-6.5074331911071255</v>
      </c>
      <c r="F3" s="13">
        <f t="shared" ref="F3:F66" si="1">ABS(E3)</f>
        <v>6.5074331911071255</v>
      </c>
      <c r="G3" s="13">
        <f t="shared" ref="G3:G66" si="2">F3^2</f>
        <v>42.346686736722667</v>
      </c>
      <c r="H3" s="5">
        <f t="shared" ref="H3:H66" si="3">F3/C3</f>
        <v>0.20335728722209767</v>
      </c>
    </row>
    <row r="4" spans="1:11" ht="15.75" customHeight="1">
      <c r="A4" s="4">
        <v>3</v>
      </c>
      <c r="B4" s="3">
        <v>21553</v>
      </c>
      <c r="C4" s="4">
        <v>30</v>
      </c>
      <c r="D4" s="13">
        <f t="shared" ref="D4:D66" si="4">_xlfn.FORECAST.LINEAR(A4,$C$2:$C$366,$A$2:$A$366)</f>
        <v>38.545602297993952</v>
      </c>
      <c r="E4" s="13">
        <f t="shared" si="0"/>
        <v>-8.5074331911071255</v>
      </c>
      <c r="F4" s="13">
        <f t="shared" si="1"/>
        <v>8.5074331911071255</v>
      </c>
      <c r="G4" s="13">
        <f t="shared" si="2"/>
        <v>72.376419501151162</v>
      </c>
      <c r="H4" s="5">
        <f t="shared" si="3"/>
        <v>0.28358110637023753</v>
      </c>
    </row>
    <row r="5" spans="1:11" ht="15.75" customHeight="1">
      <c r="A5" s="4">
        <v>4</v>
      </c>
      <c r="B5" s="3">
        <v>21554</v>
      </c>
      <c r="C5" s="4">
        <v>31</v>
      </c>
      <c r="D5" s="13">
        <f>_xlfn.FORECAST.LINEAR(A5,$C$2:$C$366,$A$2:$A$366)</f>
        <v>38.564686851437365</v>
      </c>
      <c r="E5" s="13">
        <f t="shared" si="0"/>
        <v>-7.5074331911071255</v>
      </c>
      <c r="F5" s="13">
        <f t="shared" si="1"/>
        <v>7.5074331911071255</v>
      </c>
      <c r="G5" s="13">
        <f t="shared" si="2"/>
        <v>56.361553118936918</v>
      </c>
      <c r="H5" s="5">
        <f t="shared" si="3"/>
        <v>0.24217526422926211</v>
      </c>
    </row>
    <row r="6" spans="1:11" ht="15.75" customHeight="1">
      <c r="A6" s="4">
        <v>5</v>
      </c>
      <c r="B6" s="3">
        <v>21555</v>
      </c>
      <c r="C6" s="4">
        <v>44</v>
      </c>
      <c r="D6" s="13">
        <f t="shared" si="4"/>
        <v>38.583771404880778</v>
      </c>
      <c r="E6" s="13">
        <f t="shared" si="0"/>
        <v>5.4925668088928745</v>
      </c>
      <c r="F6" s="13">
        <f t="shared" si="1"/>
        <v>5.4925668088928745</v>
      </c>
      <c r="G6" s="13">
        <f t="shared" si="2"/>
        <v>30.168290150151655</v>
      </c>
      <c r="H6" s="5">
        <f t="shared" si="3"/>
        <v>0.12483106383847442</v>
      </c>
      <c r="J6" s="6" t="s">
        <v>7</v>
      </c>
      <c r="K6" s="7">
        <f>AVERAGE(F2:F366)</f>
        <v>6.3139334725858101</v>
      </c>
    </row>
    <row r="7" spans="1:11" ht="15.75" customHeight="1">
      <c r="A7" s="4">
        <v>6</v>
      </c>
      <c r="B7" s="3">
        <v>21556</v>
      </c>
      <c r="C7" s="4">
        <v>29</v>
      </c>
      <c r="D7" s="13">
        <f t="shared" si="4"/>
        <v>38.602855958324191</v>
      </c>
      <c r="E7" s="13">
        <f t="shared" si="0"/>
        <v>-9.5074331911071255</v>
      </c>
      <c r="F7" s="13">
        <f t="shared" si="1"/>
        <v>9.5074331911071255</v>
      </c>
      <c r="G7" s="13">
        <f t="shared" si="2"/>
        <v>90.391285883365413</v>
      </c>
      <c r="H7" s="5">
        <f t="shared" si="3"/>
        <v>0.32784252383128021</v>
      </c>
      <c r="J7" s="2" t="s">
        <v>8</v>
      </c>
      <c r="K7" s="8">
        <f>AVERAGE(G2:G366)</f>
        <v>65.913376516430887</v>
      </c>
    </row>
    <row r="8" spans="1:11" ht="15.75" customHeight="1">
      <c r="A8" s="4">
        <v>7</v>
      </c>
      <c r="B8" s="3">
        <v>21557</v>
      </c>
      <c r="C8" s="4">
        <v>45</v>
      </c>
      <c r="D8" s="13">
        <f t="shared" si="4"/>
        <v>38.621940511767598</v>
      </c>
      <c r="E8" s="13">
        <f t="shared" si="0"/>
        <v>6.4925668088928745</v>
      </c>
      <c r="F8" s="13">
        <f t="shared" si="1"/>
        <v>6.4925668088928745</v>
      </c>
      <c r="G8" s="13">
        <f t="shared" si="2"/>
        <v>42.153423767937404</v>
      </c>
      <c r="H8" s="5">
        <f t="shared" si="3"/>
        <v>0.14427926241984165</v>
      </c>
      <c r="J8" s="2" t="s">
        <v>9</v>
      </c>
      <c r="K8" s="21">
        <f>AVERAGE(H2:H366)</f>
        <v>0.144827690913063</v>
      </c>
    </row>
    <row r="9" spans="1:11" ht="15.75" customHeight="1">
      <c r="A9" s="4">
        <v>8</v>
      </c>
      <c r="B9" s="3">
        <v>21558</v>
      </c>
      <c r="C9" s="4">
        <v>43</v>
      </c>
      <c r="D9" s="13">
        <f t="shared" si="4"/>
        <v>38.641025065211011</v>
      </c>
      <c r="E9" s="13">
        <f t="shared" si="0"/>
        <v>4.4925668088928745</v>
      </c>
      <c r="F9" s="13">
        <f t="shared" si="1"/>
        <v>4.4925668088928745</v>
      </c>
      <c r="G9" s="13">
        <f t="shared" si="2"/>
        <v>20.183156532365906</v>
      </c>
      <c r="H9" s="5">
        <f t="shared" si="3"/>
        <v>0.10447829788122964</v>
      </c>
      <c r="J9" s="14" t="s">
        <v>10</v>
      </c>
      <c r="K9" s="27">
        <f>100%-K8</f>
        <v>0.85517230908693698</v>
      </c>
    </row>
    <row r="10" spans="1:11" ht="15.75" customHeight="1">
      <c r="A10" s="4">
        <v>9</v>
      </c>
      <c r="B10" s="3">
        <v>21559</v>
      </c>
      <c r="C10" s="4">
        <v>38</v>
      </c>
      <c r="D10" s="13">
        <f t="shared" si="4"/>
        <v>38.660109618654424</v>
      </c>
      <c r="E10" s="13">
        <f t="shared" si="0"/>
        <v>-0.50743319110712548</v>
      </c>
      <c r="F10" s="13">
        <f t="shared" si="1"/>
        <v>0.50743319110712548</v>
      </c>
      <c r="G10" s="13">
        <f t="shared" si="2"/>
        <v>0.25748844343716054</v>
      </c>
      <c r="H10" s="5">
        <f t="shared" si="3"/>
        <v>1.3353505029134882E-2</v>
      </c>
    </row>
    <row r="11" spans="1:11" ht="15.75" customHeight="1">
      <c r="A11" s="4">
        <v>10</v>
      </c>
      <c r="B11" s="3">
        <v>21560</v>
      </c>
      <c r="C11" s="4">
        <v>27</v>
      </c>
      <c r="D11" s="13">
        <f t="shared" si="4"/>
        <v>38.679194172097837</v>
      </c>
      <c r="E11" s="13">
        <f t="shared" si="0"/>
        <v>-11.507433191107125</v>
      </c>
      <c r="F11" s="13">
        <f t="shared" si="1"/>
        <v>11.507433191107125</v>
      </c>
      <c r="G11" s="13">
        <f t="shared" si="2"/>
        <v>132.42101864779391</v>
      </c>
      <c r="H11" s="5">
        <f t="shared" si="3"/>
        <v>0.42620122930026388</v>
      </c>
    </row>
    <row r="12" spans="1:11" ht="15.75" customHeight="1">
      <c r="A12" s="4">
        <v>11</v>
      </c>
      <c r="B12" s="3">
        <v>21561</v>
      </c>
      <c r="C12" s="4">
        <v>38</v>
      </c>
      <c r="D12" s="13">
        <f t="shared" si="4"/>
        <v>38.69827872554125</v>
      </c>
      <c r="E12" s="13">
        <f t="shared" si="0"/>
        <v>-0.50743319110712548</v>
      </c>
      <c r="F12" s="13">
        <f t="shared" si="1"/>
        <v>0.50743319110712548</v>
      </c>
      <c r="G12" s="13">
        <f t="shared" si="2"/>
        <v>0.25748844343716054</v>
      </c>
      <c r="H12" s="5">
        <f t="shared" si="3"/>
        <v>1.3353505029134882E-2</v>
      </c>
    </row>
    <row r="13" spans="1:11" ht="15.75" customHeight="1">
      <c r="A13" s="4">
        <v>12</v>
      </c>
      <c r="B13" s="3">
        <v>21562</v>
      </c>
      <c r="C13" s="4">
        <v>33</v>
      </c>
      <c r="D13" s="13">
        <f t="shared" si="4"/>
        <v>38.717363278984664</v>
      </c>
      <c r="E13" s="13">
        <f t="shared" si="0"/>
        <v>-5.5074331911071255</v>
      </c>
      <c r="F13" s="13">
        <f t="shared" si="1"/>
        <v>5.5074331911071255</v>
      </c>
      <c r="G13" s="13">
        <f t="shared" si="2"/>
        <v>30.331820354508416</v>
      </c>
      <c r="H13" s="5">
        <f t="shared" si="3"/>
        <v>0.16689191488203411</v>
      </c>
    </row>
    <row r="14" spans="1:11" ht="15.75" customHeight="1">
      <c r="A14" s="4">
        <v>13</v>
      </c>
      <c r="B14" s="3">
        <v>21563</v>
      </c>
      <c r="C14" s="4">
        <v>55</v>
      </c>
      <c r="D14" s="13">
        <f t="shared" si="4"/>
        <v>38.736447832428077</v>
      </c>
      <c r="E14" s="13">
        <f t="shared" si="0"/>
        <v>16.492566808892875</v>
      </c>
      <c r="F14" s="13">
        <f t="shared" si="1"/>
        <v>16.492566808892875</v>
      </c>
      <c r="G14" s="13">
        <f t="shared" si="2"/>
        <v>272.00475994579489</v>
      </c>
      <c r="H14" s="5">
        <f t="shared" si="3"/>
        <v>0.29986485107077954</v>
      </c>
    </row>
    <row r="15" spans="1:11" ht="15.75" customHeight="1">
      <c r="A15" s="4">
        <v>14</v>
      </c>
      <c r="B15" s="3">
        <v>21564</v>
      </c>
      <c r="C15" s="4">
        <v>47</v>
      </c>
      <c r="D15" s="13">
        <f t="shared" si="4"/>
        <v>38.75553238587149</v>
      </c>
      <c r="E15" s="13">
        <f t="shared" si="0"/>
        <v>8.4925668088928745</v>
      </c>
      <c r="F15" s="13">
        <f t="shared" si="1"/>
        <v>8.4925668088928745</v>
      </c>
      <c r="G15" s="13">
        <f t="shared" si="2"/>
        <v>72.123691003508895</v>
      </c>
      <c r="H15" s="5">
        <f t="shared" si="3"/>
        <v>0.18069291082750796</v>
      </c>
    </row>
    <row r="16" spans="1:11" ht="15.75" customHeight="1">
      <c r="A16" s="4">
        <v>15</v>
      </c>
      <c r="B16" s="3">
        <v>21565</v>
      </c>
      <c r="C16" s="4">
        <v>45</v>
      </c>
      <c r="D16" s="13">
        <f t="shared" si="4"/>
        <v>38.774616939314903</v>
      </c>
      <c r="E16" s="13">
        <f t="shared" si="0"/>
        <v>6.4925668088928745</v>
      </c>
      <c r="F16" s="13">
        <f t="shared" si="1"/>
        <v>6.4925668088928745</v>
      </c>
      <c r="G16" s="13">
        <f t="shared" si="2"/>
        <v>42.153423767937404</v>
      </c>
      <c r="H16" s="5">
        <f t="shared" si="3"/>
        <v>0.14427926241984165</v>
      </c>
    </row>
    <row r="17" spans="1:8" ht="15.75" customHeight="1">
      <c r="A17" s="4">
        <v>16</v>
      </c>
      <c r="B17" s="3">
        <v>21566</v>
      </c>
      <c r="C17" s="4">
        <v>37</v>
      </c>
      <c r="D17" s="13">
        <f t="shared" si="4"/>
        <v>38.793701492758316</v>
      </c>
      <c r="E17" s="13">
        <f t="shared" si="0"/>
        <v>-1.5074331911071255</v>
      </c>
      <c r="F17" s="13">
        <f t="shared" si="1"/>
        <v>1.5074331911071255</v>
      </c>
      <c r="G17" s="13">
        <f t="shared" si="2"/>
        <v>2.2723548256514117</v>
      </c>
      <c r="H17" s="5">
        <f t="shared" si="3"/>
        <v>4.0741437597489875E-2</v>
      </c>
    </row>
    <row r="18" spans="1:8" ht="15.75" customHeight="1">
      <c r="A18" s="4">
        <v>17</v>
      </c>
      <c r="B18" s="3">
        <v>21567</v>
      </c>
      <c r="C18" s="4">
        <v>50</v>
      </c>
      <c r="D18" s="13">
        <f t="shared" si="4"/>
        <v>38.81278604620173</v>
      </c>
      <c r="E18" s="13">
        <f t="shared" si="0"/>
        <v>11.492566808892875</v>
      </c>
      <c r="F18" s="13">
        <f t="shared" si="1"/>
        <v>11.492566808892875</v>
      </c>
      <c r="G18" s="13">
        <f t="shared" si="2"/>
        <v>132.07909185686614</v>
      </c>
      <c r="H18" s="5">
        <f t="shared" si="3"/>
        <v>0.2298513361778575</v>
      </c>
    </row>
    <row r="19" spans="1:8" ht="15.75" customHeight="1">
      <c r="A19" s="4">
        <v>18</v>
      </c>
      <c r="B19" s="3">
        <v>21568</v>
      </c>
      <c r="C19" s="4">
        <v>43</v>
      </c>
      <c r="D19" s="13">
        <f t="shared" si="4"/>
        <v>38.831870599645143</v>
      </c>
      <c r="E19" s="13">
        <f t="shared" si="0"/>
        <v>4.4925668088928745</v>
      </c>
      <c r="F19" s="13">
        <f t="shared" si="1"/>
        <v>4.4925668088928745</v>
      </c>
      <c r="G19" s="13">
        <f t="shared" si="2"/>
        <v>20.183156532365906</v>
      </c>
      <c r="H19" s="5">
        <f t="shared" si="3"/>
        <v>0.10447829788122964</v>
      </c>
    </row>
    <row r="20" spans="1:8" ht="15.75" customHeight="1">
      <c r="A20" s="4">
        <v>19</v>
      </c>
      <c r="B20" s="3">
        <v>21569</v>
      </c>
      <c r="C20" s="4">
        <v>41</v>
      </c>
      <c r="D20" s="13">
        <f t="shared" si="4"/>
        <v>38.850955153088549</v>
      </c>
      <c r="E20" s="13">
        <f t="shared" si="0"/>
        <v>2.4925668088928745</v>
      </c>
      <c r="F20" s="13">
        <f t="shared" si="1"/>
        <v>2.4925668088928745</v>
      </c>
      <c r="G20" s="13">
        <f t="shared" si="2"/>
        <v>6.2128892967944074</v>
      </c>
      <c r="H20" s="5">
        <f t="shared" si="3"/>
        <v>6.079431241202133E-2</v>
      </c>
    </row>
    <row r="21" spans="1:8" ht="15.75" customHeight="1">
      <c r="A21" s="4">
        <v>20</v>
      </c>
      <c r="B21" s="3">
        <v>21570</v>
      </c>
      <c r="C21" s="4">
        <v>52</v>
      </c>
      <c r="D21" s="13">
        <f t="shared" si="4"/>
        <v>38.870039706531962</v>
      </c>
      <c r="E21" s="13">
        <f t="shared" si="0"/>
        <v>13.492566808892875</v>
      </c>
      <c r="F21" s="13">
        <f t="shared" si="1"/>
        <v>13.492566808892875</v>
      </c>
      <c r="G21" s="13">
        <f t="shared" si="2"/>
        <v>182.04935909243764</v>
      </c>
      <c r="H21" s="5">
        <f t="shared" si="3"/>
        <v>0.25947243863255526</v>
      </c>
    </row>
    <row r="22" spans="1:8" ht="15.75" customHeight="1">
      <c r="A22" s="4">
        <v>21</v>
      </c>
      <c r="B22" s="3">
        <v>21571</v>
      </c>
      <c r="C22" s="4">
        <v>34</v>
      </c>
      <c r="D22" s="13">
        <f t="shared" si="4"/>
        <v>38.889124259975375</v>
      </c>
      <c r="E22" s="13">
        <f t="shared" si="0"/>
        <v>-4.5074331911071255</v>
      </c>
      <c r="F22" s="13">
        <f t="shared" si="1"/>
        <v>4.5074331911071255</v>
      </c>
      <c r="G22" s="13">
        <f t="shared" si="2"/>
        <v>20.316953972294165</v>
      </c>
      <c r="H22" s="5">
        <f t="shared" si="3"/>
        <v>0.13257156444432722</v>
      </c>
    </row>
    <row r="23" spans="1:8" ht="15.75" customHeight="1">
      <c r="A23" s="4">
        <v>22</v>
      </c>
      <c r="B23" s="3">
        <v>21572</v>
      </c>
      <c r="C23" s="4">
        <v>53</v>
      </c>
      <c r="D23" s="13">
        <f t="shared" si="4"/>
        <v>38.908208813418788</v>
      </c>
      <c r="E23" s="13">
        <f t="shared" si="0"/>
        <v>14.492566808892875</v>
      </c>
      <c r="F23" s="13">
        <f t="shared" si="1"/>
        <v>14.492566808892875</v>
      </c>
      <c r="G23" s="13">
        <f t="shared" si="2"/>
        <v>210.03449271022339</v>
      </c>
      <c r="H23" s="5">
        <f t="shared" si="3"/>
        <v>0.27344465677156365</v>
      </c>
    </row>
    <row r="24" spans="1:8" ht="15.75" customHeight="1">
      <c r="A24" s="4">
        <v>23</v>
      </c>
      <c r="B24" s="3">
        <v>21573</v>
      </c>
      <c r="C24" s="4">
        <v>39</v>
      </c>
      <c r="D24" s="13">
        <f t="shared" si="4"/>
        <v>38.927293366862202</v>
      </c>
      <c r="E24" s="13">
        <f t="shared" si="0"/>
        <v>0.49256680889287452</v>
      </c>
      <c r="F24" s="13">
        <f t="shared" si="1"/>
        <v>0.49256680889287452</v>
      </c>
      <c r="G24" s="13">
        <f t="shared" si="2"/>
        <v>0.24262206122290958</v>
      </c>
      <c r="H24" s="5">
        <f t="shared" si="3"/>
        <v>1.2629918176740373E-2</v>
      </c>
    </row>
    <row r="25" spans="1:8" ht="15.75" customHeight="1">
      <c r="A25" s="4">
        <v>24</v>
      </c>
      <c r="B25" s="3">
        <v>21574</v>
      </c>
      <c r="C25" s="4">
        <v>32</v>
      </c>
      <c r="D25" s="13">
        <f t="shared" si="4"/>
        <v>38.946377920305615</v>
      </c>
      <c r="E25" s="13">
        <f t="shared" si="0"/>
        <v>-6.5074331911071255</v>
      </c>
      <c r="F25" s="13">
        <f t="shared" si="1"/>
        <v>6.5074331911071255</v>
      </c>
      <c r="G25" s="13">
        <f t="shared" si="2"/>
        <v>42.346686736722667</v>
      </c>
      <c r="H25" s="5">
        <f t="shared" si="3"/>
        <v>0.20335728722209767</v>
      </c>
    </row>
    <row r="26" spans="1:8" ht="15.75" customHeight="1">
      <c r="A26" s="4">
        <v>25</v>
      </c>
      <c r="B26" s="3">
        <v>21575</v>
      </c>
      <c r="C26" s="4">
        <v>37</v>
      </c>
      <c r="D26" s="13">
        <f t="shared" si="4"/>
        <v>38.965462473749028</v>
      </c>
      <c r="E26" s="13">
        <f t="shared" si="0"/>
        <v>-1.5074331911071255</v>
      </c>
      <c r="F26" s="13">
        <f t="shared" si="1"/>
        <v>1.5074331911071255</v>
      </c>
      <c r="G26" s="13">
        <f t="shared" si="2"/>
        <v>2.2723548256514117</v>
      </c>
      <c r="H26" s="5">
        <f t="shared" si="3"/>
        <v>4.0741437597489875E-2</v>
      </c>
    </row>
    <row r="27" spans="1:8" ht="15.75" customHeight="1">
      <c r="A27" s="4">
        <v>26</v>
      </c>
      <c r="B27" s="3">
        <v>21576</v>
      </c>
      <c r="C27" s="4">
        <v>43</v>
      </c>
      <c r="D27" s="13">
        <f t="shared" si="4"/>
        <v>38.984547027192441</v>
      </c>
      <c r="E27" s="13">
        <f t="shared" si="0"/>
        <v>4.4925668088928745</v>
      </c>
      <c r="F27" s="13">
        <f t="shared" si="1"/>
        <v>4.4925668088928745</v>
      </c>
      <c r="G27" s="13">
        <f t="shared" si="2"/>
        <v>20.183156532365906</v>
      </c>
      <c r="H27" s="5">
        <f t="shared" si="3"/>
        <v>0.10447829788122964</v>
      </c>
    </row>
    <row r="28" spans="1:8" ht="15.75" customHeight="1">
      <c r="A28" s="4">
        <v>27</v>
      </c>
      <c r="B28" s="3">
        <v>21577</v>
      </c>
      <c r="C28" s="4">
        <v>39</v>
      </c>
      <c r="D28" s="13">
        <f t="shared" si="4"/>
        <v>39.003631580635854</v>
      </c>
      <c r="E28" s="13">
        <f t="shared" si="0"/>
        <v>0.49256680889287452</v>
      </c>
      <c r="F28" s="13">
        <f t="shared" si="1"/>
        <v>0.49256680889287452</v>
      </c>
      <c r="G28" s="13">
        <f t="shared" si="2"/>
        <v>0.24262206122290958</v>
      </c>
      <c r="H28" s="5">
        <f t="shared" si="3"/>
        <v>1.2629918176740373E-2</v>
      </c>
    </row>
    <row r="29" spans="1:8" ht="15.75" customHeight="1">
      <c r="A29" s="4">
        <v>28</v>
      </c>
      <c r="B29" s="3">
        <v>21578</v>
      </c>
      <c r="C29" s="4">
        <v>35</v>
      </c>
      <c r="D29" s="13">
        <f t="shared" si="4"/>
        <v>39.022716134079268</v>
      </c>
      <c r="E29" s="13">
        <f t="shared" si="0"/>
        <v>-3.5074331911071255</v>
      </c>
      <c r="F29" s="13">
        <f t="shared" si="1"/>
        <v>3.5074331911071255</v>
      </c>
      <c r="G29" s="13">
        <f t="shared" si="2"/>
        <v>12.302087590079914</v>
      </c>
      <c r="H29" s="5">
        <f t="shared" si="3"/>
        <v>0.10021237688877502</v>
      </c>
    </row>
    <row r="30" spans="1:8" ht="15.75" customHeight="1">
      <c r="A30" s="4">
        <v>29</v>
      </c>
      <c r="B30" s="3">
        <v>21579</v>
      </c>
      <c r="C30" s="4">
        <v>44</v>
      </c>
      <c r="D30" s="13">
        <f t="shared" si="4"/>
        <v>39.041800687522681</v>
      </c>
      <c r="E30" s="13">
        <f t="shared" si="0"/>
        <v>5.4925668088928745</v>
      </c>
      <c r="F30" s="13">
        <f t="shared" si="1"/>
        <v>5.4925668088928745</v>
      </c>
      <c r="G30" s="13">
        <f t="shared" si="2"/>
        <v>30.168290150151655</v>
      </c>
      <c r="H30" s="5">
        <f t="shared" si="3"/>
        <v>0.12483106383847442</v>
      </c>
    </row>
    <row r="31" spans="1:8" ht="15.75" customHeight="1">
      <c r="A31" s="4">
        <v>30</v>
      </c>
      <c r="B31" s="3">
        <v>21580</v>
      </c>
      <c r="C31" s="4">
        <v>38</v>
      </c>
      <c r="D31" s="13">
        <f t="shared" si="4"/>
        <v>39.060885240966094</v>
      </c>
      <c r="E31" s="13">
        <f t="shared" si="0"/>
        <v>-0.50743319110712548</v>
      </c>
      <c r="F31" s="13">
        <f t="shared" si="1"/>
        <v>0.50743319110712548</v>
      </c>
      <c r="G31" s="13">
        <f t="shared" si="2"/>
        <v>0.25748844343716054</v>
      </c>
      <c r="H31" s="5">
        <f t="shared" si="3"/>
        <v>1.3353505029134882E-2</v>
      </c>
    </row>
    <row r="32" spans="1:8" ht="15.75" customHeight="1">
      <c r="A32" s="4">
        <v>31</v>
      </c>
      <c r="B32" s="3">
        <v>21581</v>
      </c>
      <c r="C32" s="4">
        <v>24</v>
      </c>
      <c r="D32" s="13">
        <f t="shared" si="4"/>
        <v>39.079969794409507</v>
      </c>
      <c r="E32" s="13">
        <f t="shared" si="0"/>
        <v>-14.507433191107125</v>
      </c>
      <c r="F32" s="13">
        <f t="shared" si="1"/>
        <v>14.507433191107125</v>
      </c>
      <c r="G32" s="13">
        <f t="shared" si="2"/>
        <v>210.46561779443667</v>
      </c>
      <c r="H32" s="5">
        <f t="shared" si="3"/>
        <v>0.60447638296279693</v>
      </c>
    </row>
    <row r="33" spans="1:8" ht="15.75" customHeight="1">
      <c r="A33" s="4">
        <v>32</v>
      </c>
      <c r="B33" s="3">
        <v>21582</v>
      </c>
      <c r="C33" s="4">
        <v>23</v>
      </c>
      <c r="D33" s="13">
        <f t="shared" si="4"/>
        <v>39.099054347852913</v>
      </c>
      <c r="E33" s="13">
        <f t="shared" si="0"/>
        <v>-15.507433191107125</v>
      </c>
      <c r="F33" s="13">
        <f t="shared" si="1"/>
        <v>15.507433191107125</v>
      </c>
      <c r="G33" s="13">
        <f t="shared" si="2"/>
        <v>240.48048417665092</v>
      </c>
      <c r="H33" s="5">
        <f t="shared" si="3"/>
        <v>0.67423622570030983</v>
      </c>
    </row>
    <row r="34" spans="1:8" ht="15.75" customHeight="1">
      <c r="A34" s="4">
        <v>33</v>
      </c>
      <c r="B34" s="3">
        <v>21583</v>
      </c>
      <c r="C34" s="4">
        <v>31</v>
      </c>
      <c r="D34" s="13">
        <f t="shared" si="4"/>
        <v>39.118138901296327</v>
      </c>
      <c r="E34" s="13">
        <f t="shared" si="0"/>
        <v>-7.5074331911071255</v>
      </c>
      <c r="F34" s="13">
        <f t="shared" si="1"/>
        <v>7.5074331911071255</v>
      </c>
      <c r="G34" s="13">
        <f t="shared" si="2"/>
        <v>56.361553118936918</v>
      </c>
      <c r="H34" s="5">
        <f t="shared" si="3"/>
        <v>0.24217526422926211</v>
      </c>
    </row>
    <row r="35" spans="1:8" ht="15.75" customHeight="1">
      <c r="A35" s="4">
        <v>34</v>
      </c>
      <c r="B35" s="3">
        <v>21584</v>
      </c>
      <c r="C35" s="4">
        <v>44</v>
      </c>
      <c r="D35" s="13">
        <f t="shared" si="4"/>
        <v>39.13722345473974</v>
      </c>
      <c r="E35" s="13">
        <f t="shared" si="0"/>
        <v>5.4925668088928745</v>
      </c>
      <c r="F35" s="13">
        <f t="shared" si="1"/>
        <v>5.4925668088928745</v>
      </c>
      <c r="G35" s="13">
        <f t="shared" si="2"/>
        <v>30.168290150151655</v>
      </c>
      <c r="H35" s="5">
        <f t="shared" si="3"/>
        <v>0.12483106383847442</v>
      </c>
    </row>
    <row r="36" spans="1:8" ht="15.75" customHeight="1">
      <c r="A36" s="4">
        <v>35</v>
      </c>
      <c r="B36" s="3">
        <v>21585</v>
      </c>
      <c r="C36" s="4">
        <v>38</v>
      </c>
      <c r="D36" s="13">
        <f t="shared" si="4"/>
        <v>39.156308008183153</v>
      </c>
      <c r="E36" s="13">
        <f t="shared" si="0"/>
        <v>-0.50743319110712548</v>
      </c>
      <c r="F36" s="13">
        <f t="shared" si="1"/>
        <v>0.50743319110712548</v>
      </c>
      <c r="G36" s="13">
        <f t="shared" si="2"/>
        <v>0.25748844343716054</v>
      </c>
      <c r="H36" s="5">
        <f t="shared" si="3"/>
        <v>1.3353505029134882E-2</v>
      </c>
    </row>
    <row r="37" spans="1:8" ht="15.75" customHeight="1">
      <c r="A37" s="4">
        <v>36</v>
      </c>
      <c r="B37" s="3">
        <v>21586</v>
      </c>
      <c r="C37" s="4">
        <v>50</v>
      </c>
      <c r="D37" s="13">
        <f t="shared" si="4"/>
        <v>39.175392561626566</v>
      </c>
      <c r="E37" s="13">
        <f t="shared" si="0"/>
        <v>11.492566808892875</v>
      </c>
      <c r="F37" s="13">
        <f t="shared" si="1"/>
        <v>11.492566808892875</v>
      </c>
      <c r="G37" s="13">
        <f t="shared" si="2"/>
        <v>132.07909185686614</v>
      </c>
      <c r="H37" s="5">
        <f t="shared" si="3"/>
        <v>0.2298513361778575</v>
      </c>
    </row>
    <row r="38" spans="1:8" ht="15.75" customHeight="1">
      <c r="A38" s="4">
        <v>37</v>
      </c>
      <c r="B38" s="3">
        <v>21587</v>
      </c>
      <c r="C38" s="4">
        <v>38</v>
      </c>
      <c r="D38" s="13">
        <f t="shared" si="4"/>
        <v>39.194477115069979</v>
      </c>
      <c r="E38" s="13">
        <f t="shared" si="0"/>
        <v>-0.50743319110712548</v>
      </c>
      <c r="F38" s="13">
        <f t="shared" si="1"/>
        <v>0.50743319110712548</v>
      </c>
      <c r="G38" s="13">
        <f t="shared" si="2"/>
        <v>0.25748844343716054</v>
      </c>
      <c r="H38" s="5">
        <f t="shared" si="3"/>
        <v>1.3353505029134882E-2</v>
      </c>
    </row>
    <row r="39" spans="1:8" ht="15.75" customHeight="1">
      <c r="A39" s="4">
        <v>38</v>
      </c>
      <c r="B39" s="3">
        <v>21588</v>
      </c>
      <c r="C39" s="4">
        <v>51</v>
      </c>
      <c r="D39" s="13">
        <f t="shared" si="4"/>
        <v>39.213561668513393</v>
      </c>
      <c r="E39" s="13">
        <f t="shared" si="0"/>
        <v>12.492566808892875</v>
      </c>
      <c r="F39" s="13">
        <f t="shared" si="1"/>
        <v>12.492566808892875</v>
      </c>
      <c r="G39" s="13">
        <f t="shared" si="2"/>
        <v>156.06422547465189</v>
      </c>
      <c r="H39" s="5">
        <f t="shared" si="3"/>
        <v>0.24495229037044852</v>
      </c>
    </row>
    <row r="40" spans="1:8" ht="15.75" customHeight="1">
      <c r="A40" s="4">
        <v>39</v>
      </c>
      <c r="B40" s="3">
        <v>21589</v>
      </c>
      <c r="C40" s="4">
        <v>31</v>
      </c>
      <c r="D40" s="13">
        <f t="shared" si="4"/>
        <v>39.232646221956806</v>
      </c>
      <c r="E40" s="13">
        <f t="shared" si="0"/>
        <v>-7.5074331911071255</v>
      </c>
      <c r="F40" s="13">
        <f t="shared" si="1"/>
        <v>7.5074331911071255</v>
      </c>
      <c r="G40" s="13">
        <f t="shared" si="2"/>
        <v>56.361553118936918</v>
      </c>
      <c r="H40" s="5">
        <f t="shared" si="3"/>
        <v>0.24217526422926211</v>
      </c>
    </row>
    <row r="41" spans="1:8" ht="15.75" customHeight="1">
      <c r="A41" s="4">
        <v>40</v>
      </c>
      <c r="B41" s="3">
        <v>21590</v>
      </c>
      <c r="C41" s="4">
        <v>31</v>
      </c>
      <c r="D41" s="13">
        <f t="shared" si="4"/>
        <v>39.251730775400219</v>
      </c>
      <c r="E41" s="13">
        <f t="shared" si="0"/>
        <v>-7.5074331911071255</v>
      </c>
      <c r="F41" s="13">
        <f t="shared" si="1"/>
        <v>7.5074331911071255</v>
      </c>
      <c r="G41" s="13">
        <f t="shared" si="2"/>
        <v>56.361553118936918</v>
      </c>
      <c r="H41" s="5">
        <f t="shared" si="3"/>
        <v>0.24217526422926211</v>
      </c>
    </row>
    <row r="42" spans="1:8" ht="15.75" customHeight="1">
      <c r="A42" s="4">
        <v>41</v>
      </c>
      <c r="B42" s="3">
        <v>21591</v>
      </c>
      <c r="C42" s="4">
        <v>51</v>
      </c>
      <c r="D42" s="13">
        <f t="shared" si="4"/>
        <v>39.270815328843632</v>
      </c>
      <c r="E42" s="13">
        <f t="shared" si="0"/>
        <v>12.492566808892875</v>
      </c>
      <c r="F42" s="13">
        <f t="shared" si="1"/>
        <v>12.492566808892875</v>
      </c>
      <c r="G42" s="13">
        <f t="shared" si="2"/>
        <v>156.06422547465189</v>
      </c>
      <c r="H42" s="5">
        <f t="shared" si="3"/>
        <v>0.24495229037044852</v>
      </c>
    </row>
    <row r="43" spans="1:8" ht="15.75" customHeight="1">
      <c r="A43" s="4">
        <v>42</v>
      </c>
      <c r="B43" s="3">
        <v>21592</v>
      </c>
      <c r="C43" s="4">
        <v>36</v>
      </c>
      <c r="D43" s="13">
        <f t="shared" si="4"/>
        <v>39.289899882287045</v>
      </c>
      <c r="E43" s="13">
        <f t="shared" si="0"/>
        <v>-2.5074331911071255</v>
      </c>
      <c r="F43" s="13">
        <f t="shared" si="1"/>
        <v>2.5074331911071255</v>
      </c>
      <c r="G43" s="13">
        <f t="shared" si="2"/>
        <v>6.2872212078656622</v>
      </c>
      <c r="H43" s="5">
        <f t="shared" si="3"/>
        <v>6.9650921975197927E-2</v>
      </c>
    </row>
    <row r="44" spans="1:8" ht="15.75" customHeight="1">
      <c r="A44" s="4">
        <v>43</v>
      </c>
      <c r="B44" s="3">
        <v>21593</v>
      </c>
      <c r="C44" s="4">
        <v>45</v>
      </c>
      <c r="D44" s="13">
        <f t="shared" si="4"/>
        <v>39.308984435730459</v>
      </c>
      <c r="E44" s="13">
        <f t="shared" si="0"/>
        <v>6.4925668088928745</v>
      </c>
      <c r="F44" s="13">
        <f t="shared" si="1"/>
        <v>6.4925668088928745</v>
      </c>
      <c r="G44" s="13">
        <f t="shared" si="2"/>
        <v>42.153423767937404</v>
      </c>
      <c r="H44" s="5">
        <f t="shared" si="3"/>
        <v>0.14427926241984165</v>
      </c>
    </row>
    <row r="45" spans="1:8" ht="15.75" customHeight="1">
      <c r="A45" s="4">
        <v>44</v>
      </c>
      <c r="B45" s="3">
        <v>21594</v>
      </c>
      <c r="C45" s="4">
        <v>51</v>
      </c>
      <c r="D45" s="13">
        <f t="shared" si="4"/>
        <v>39.328068989173865</v>
      </c>
      <c r="E45" s="13">
        <f t="shared" si="0"/>
        <v>12.492566808892875</v>
      </c>
      <c r="F45" s="13">
        <f t="shared" si="1"/>
        <v>12.492566808892875</v>
      </c>
      <c r="G45" s="13">
        <f t="shared" si="2"/>
        <v>156.06422547465189</v>
      </c>
      <c r="H45" s="5">
        <f t="shared" si="3"/>
        <v>0.24495229037044852</v>
      </c>
    </row>
    <row r="46" spans="1:8" ht="15.75" customHeight="1">
      <c r="A46" s="4">
        <v>45</v>
      </c>
      <c r="B46" s="3">
        <v>21595</v>
      </c>
      <c r="C46" s="4">
        <v>34</v>
      </c>
      <c r="D46" s="13">
        <f t="shared" si="4"/>
        <v>39.347153542617278</v>
      </c>
      <c r="E46" s="13">
        <f t="shared" si="0"/>
        <v>-4.5074331911071255</v>
      </c>
      <c r="F46" s="13">
        <f t="shared" si="1"/>
        <v>4.5074331911071255</v>
      </c>
      <c r="G46" s="13">
        <f t="shared" si="2"/>
        <v>20.316953972294165</v>
      </c>
      <c r="H46" s="5">
        <f t="shared" si="3"/>
        <v>0.13257156444432722</v>
      </c>
    </row>
    <row r="47" spans="1:8" ht="15.75" customHeight="1">
      <c r="A47" s="4">
        <v>46</v>
      </c>
      <c r="B47" s="3">
        <v>21596</v>
      </c>
      <c r="C47" s="4">
        <v>52</v>
      </c>
      <c r="D47" s="13">
        <f t="shared" si="4"/>
        <v>39.366238096060691</v>
      </c>
      <c r="E47" s="13">
        <f t="shared" si="0"/>
        <v>13.492566808892875</v>
      </c>
      <c r="F47" s="13">
        <f t="shared" si="1"/>
        <v>13.492566808892875</v>
      </c>
      <c r="G47" s="13">
        <f t="shared" si="2"/>
        <v>182.04935909243764</v>
      </c>
      <c r="H47" s="5">
        <f t="shared" si="3"/>
        <v>0.25947243863255526</v>
      </c>
    </row>
    <row r="48" spans="1:8" ht="15.75" customHeight="1">
      <c r="A48" s="4">
        <v>47</v>
      </c>
      <c r="B48" s="3">
        <v>21597</v>
      </c>
      <c r="C48" s="4">
        <v>47</v>
      </c>
      <c r="D48" s="13">
        <f t="shared" si="4"/>
        <v>39.385322649504104</v>
      </c>
      <c r="E48" s="13">
        <f t="shared" si="0"/>
        <v>8.4925668088928745</v>
      </c>
      <c r="F48" s="13">
        <f t="shared" si="1"/>
        <v>8.4925668088928745</v>
      </c>
      <c r="G48" s="13">
        <f t="shared" si="2"/>
        <v>72.123691003508895</v>
      </c>
      <c r="H48" s="5">
        <f t="shared" si="3"/>
        <v>0.18069291082750796</v>
      </c>
    </row>
    <row r="49" spans="1:8" ht="15.75" customHeight="1">
      <c r="A49" s="4">
        <v>48</v>
      </c>
      <c r="B49" s="3">
        <v>21598</v>
      </c>
      <c r="C49" s="4">
        <v>45</v>
      </c>
      <c r="D49" s="13">
        <f t="shared" si="4"/>
        <v>39.404407202947517</v>
      </c>
      <c r="E49" s="13">
        <f t="shared" si="0"/>
        <v>6.4925668088928745</v>
      </c>
      <c r="F49" s="13">
        <f t="shared" si="1"/>
        <v>6.4925668088928745</v>
      </c>
      <c r="G49" s="13">
        <f t="shared" si="2"/>
        <v>42.153423767937404</v>
      </c>
      <c r="H49" s="5">
        <f t="shared" si="3"/>
        <v>0.14427926241984165</v>
      </c>
    </row>
    <row r="50" spans="1:8" ht="15.75" customHeight="1">
      <c r="A50" s="4">
        <v>49</v>
      </c>
      <c r="B50" s="3">
        <v>21599</v>
      </c>
      <c r="C50" s="4">
        <v>46</v>
      </c>
      <c r="D50" s="13">
        <f t="shared" si="4"/>
        <v>39.423491756390931</v>
      </c>
      <c r="E50" s="13">
        <f t="shared" si="0"/>
        <v>7.4925668088928745</v>
      </c>
      <c r="F50" s="13">
        <f t="shared" si="1"/>
        <v>7.4925668088928745</v>
      </c>
      <c r="G50" s="13">
        <f t="shared" si="2"/>
        <v>56.138557385723153</v>
      </c>
      <c r="H50" s="5">
        <f t="shared" si="3"/>
        <v>0.16288188714984511</v>
      </c>
    </row>
    <row r="51" spans="1:8" ht="15.75" customHeight="1">
      <c r="A51" s="4">
        <v>50</v>
      </c>
      <c r="B51" s="3">
        <v>21600</v>
      </c>
      <c r="C51" s="4">
        <v>39</v>
      </c>
      <c r="D51" s="13">
        <f t="shared" si="4"/>
        <v>39.442576309834344</v>
      </c>
      <c r="E51" s="13">
        <f t="shared" si="0"/>
        <v>0.49256680889287452</v>
      </c>
      <c r="F51" s="13">
        <f t="shared" si="1"/>
        <v>0.49256680889287452</v>
      </c>
      <c r="G51" s="13">
        <f t="shared" si="2"/>
        <v>0.24262206122290958</v>
      </c>
      <c r="H51" s="5">
        <f t="shared" si="3"/>
        <v>1.2629918176740373E-2</v>
      </c>
    </row>
    <row r="52" spans="1:8" ht="15.75" customHeight="1">
      <c r="A52" s="4">
        <v>51</v>
      </c>
      <c r="B52" s="3">
        <v>21601</v>
      </c>
      <c r="C52" s="4">
        <v>48</v>
      </c>
      <c r="D52" s="13">
        <f t="shared" si="4"/>
        <v>39.461660863277757</v>
      </c>
      <c r="E52" s="13">
        <f t="shared" si="0"/>
        <v>9.4925668088928745</v>
      </c>
      <c r="F52" s="13">
        <f t="shared" si="1"/>
        <v>9.4925668088928745</v>
      </c>
      <c r="G52" s="13">
        <f t="shared" si="2"/>
        <v>90.108824621294644</v>
      </c>
      <c r="H52" s="5">
        <f t="shared" si="3"/>
        <v>0.19776180851860156</v>
      </c>
    </row>
    <row r="53" spans="1:8" ht="15.75" customHeight="1">
      <c r="A53" s="4">
        <v>52</v>
      </c>
      <c r="B53" s="3">
        <v>21602</v>
      </c>
      <c r="C53" s="4">
        <v>37</v>
      </c>
      <c r="D53" s="13">
        <f t="shared" si="4"/>
        <v>39.48074541672117</v>
      </c>
      <c r="E53" s="13">
        <f t="shared" si="0"/>
        <v>-1.5074331911071255</v>
      </c>
      <c r="F53" s="13">
        <f t="shared" si="1"/>
        <v>1.5074331911071255</v>
      </c>
      <c r="G53" s="13">
        <f t="shared" si="2"/>
        <v>2.2723548256514117</v>
      </c>
      <c r="H53" s="5">
        <f t="shared" si="3"/>
        <v>4.0741437597489875E-2</v>
      </c>
    </row>
    <row r="54" spans="1:8" ht="15.75" customHeight="1">
      <c r="A54" s="4">
        <v>53</v>
      </c>
      <c r="B54" s="3">
        <v>21603</v>
      </c>
      <c r="C54" s="4">
        <v>35</v>
      </c>
      <c r="D54" s="13">
        <f t="shared" si="4"/>
        <v>39.499829970164583</v>
      </c>
      <c r="E54" s="13">
        <f t="shared" si="0"/>
        <v>-3.5074331911071255</v>
      </c>
      <c r="F54" s="13">
        <f t="shared" si="1"/>
        <v>3.5074331911071255</v>
      </c>
      <c r="G54" s="13">
        <f t="shared" si="2"/>
        <v>12.302087590079914</v>
      </c>
      <c r="H54" s="5">
        <f t="shared" si="3"/>
        <v>0.10021237688877502</v>
      </c>
    </row>
    <row r="55" spans="1:8" ht="15.75" customHeight="1">
      <c r="A55" s="4">
        <v>54</v>
      </c>
      <c r="B55" s="3">
        <v>21604</v>
      </c>
      <c r="C55" s="4">
        <v>52</v>
      </c>
      <c r="D55" s="13">
        <f t="shared" si="4"/>
        <v>39.518914523607997</v>
      </c>
      <c r="E55" s="13">
        <f t="shared" si="0"/>
        <v>13.492566808892875</v>
      </c>
      <c r="F55" s="13">
        <f t="shared" si="1"/>
        <v>13.492566808892875</v>
      </c>
      <c r="G55" s="13">
        <f t="shared" si="2"/>
        <v>182.04935909243764</v>
      </c>
      <c r="H55" s="5">
        <f t="shared" si="3"/>
        <v>0.25947243863255526</v>
      </c>
    </row>
    <row r="56" spans="1:8" ht="15.75" customHeight="1">
      <c r="A56" s="4">
        <v>55</v>
      </c>
      <c r="B56" s="3">
        <v>21605</v>
      </c>
      <c r="C56" s="4">
        <v>42</v>
      </c>
      <c r="D56" s="13">
        <f t="shared" si="4"/>
        <v>39.53799907705141</v>
      </c>
      <c r="E56" s="13">
        <f t="shared" si="0"/>
        <v>3.4925668088928745</v>
      </c>
      <c r="F56" s="13">
        <f t="shared" si="1"/>
        <v>3.4925668088928745</v>
      </c>
      <c r="G56" s="13">
        <f t="shared" si="2"/>
        <v>12.198022914580157</v>
      </c>
      <c r="H56" s="5">
        <f t="shared" si="3"/>
        <v>8.3156352592687485E-2</v>
      </c>
    </row>
    <row r="57" spans="1:8" ht="15.75" customHeight="1">
      <c r="A57" s="4">
        <v>56</v>
      </c>
      <c r="B57" s="3">
        <v>21606</v>
      </c>
      <c r="C57" s="4">
        <v>45</v>
      </c>
      <c r="D57" s="13">
        <f t="shared" si="4"/>
        <v>39.557083630494816</v>
      </c>
      <c r="E57" s="13">
        <f t="shared" si="0"/>
        <v>6.4925668088928745</v>
      </c>
      <c r="F57" s="13">
        <f t="shared" si="1"/>
        <v>6.4925668088928745</v>
      </c>
      <c r="G57" s="13">
        <f t="shared" si="2"/>
        <v>42.153423767937404</v>
      </c>
      <c r="H57" s="5">
        <f t="shared" si="3"/>
        <v>0.14427926241984165</v>
      </c>
    </row>
    <row r="58" spans="1:8" ht="15.75" customHeight="1">
      <c r="A58" s="4">
        <v>57</v>
      </c>
      <c r="B58" s="3">
        <v>21607</v>
      </c>
      <c r="C58" s="4">
        <v>39</v>
      </c>
      <c r="D58" s="13">
        <f t="shared" si="4"/>
        <v>39.576168183938229</v>
      </c>
      <c r="E58" s="13">
        <f t="shared" si="0"/>
        <v>0.49256680889287452</v>
      </c>
      <c r="F58" s="13">
        <f t="shared" si="1"/>
        <v>0.49256680889287452</v>
      </c>
      <c r="G58" s="13">
        <f t="shared" si="2"/>
        <v>0.24262206122290958</v>
      </c>
      <c r="H58" s="5">
        <f t="shared" si="3"/>
        <v>1.2629918176740373E-2</v>
      </c>
    </row>
    <row r="59" spans="1:8" ht="15.75" customHeight="1">
      <c r="A59" s="4">
        <v>58</v>
      </c>
      <c r="B59" s="3">
        <v>21608</v>
      </c>
      <c r="C59" s="4">
        <v>37</v>
      </c>
      <c r="D59" s="13">
        <f t="shared" si="4"/>
        <v>39.595252737381642</v>
      </c>
      <c r="E59" s="13">
        <f t="shared" si="0"/>
        <v>-1.5074331911071255</v>
      </c>
      <c r="F59" s="13">
        <f t="shared" si="1"/>
        <v>1.5074331911071255</v>
      </c>
      <c r="G59" s="13">
        <f t="shared" si="2"/>
        <v>2.2723548256514117</v>
      </c>
      <c r="H59" s="5">
        <f t="shared" si="3"/>
        <v>4.0741437597489875E-2</v>
      </c>
    </row>
    <row r="60" spans="1:8" ht="15.75" customHeight="1">
      <c r="A60" s="4">
        <v>59</v>
      </c>
      <c r="B60" s="3">
        <v>21609</v>
      </c>
      <c r="C60" s="4">
        <v>30</v>
      </c>
      <c r="D60" s="13">
        <f t="shared" si="4"/>
        <v>39.614337290825056</v>
      </c>
      <c r="E60" s="13">
        <f t="shared" si="0"/>
        <v>-8.5074331911071255</v>
      </c>
      <c r="F60" s="13">
        <f t="shared" si="1"/>
        <v>8.5074331911071255</v>
      </c>
      <c r="G60" s="13">
        <f t="shared" si="2"/>
        <v>72.376419501151162</v>
      </c>
      <c r="H60" s="5">
        <f t="shared" si="3"/>
        <v>0.28358110637023753</v>
      </c>
    </row>
    <row r="61" spans="1:8" ht="15.75" customHeight="1">
      <c r="A61" s="4">
        <v>60</v>
      </c>
      <c r="B61" s="3">
        <v>21610</v>
      </c>
      <c r="C61" s="4">
        <v>35</v>
      </c>
      <c r="D61" s="13">
        <f t="shared" si="4"/>
        <v>39.633421844268469</v>
      </c>
      <c r="E61" s="13">
        <f t="shared" si="0"/>
        <v>-3.5074331911071255</v>
      </c>
      <c r="F61" s="13">
        <f t="shared" si="1"/>
        <v>3.5074331911071255</v>
      </c>
      <c r="G61" s="13">
        <f t="shared" si="2"/>
        <v>12.302087590079914</v>
      </c>
      <c r="H61" s="5">
        <f t="shared" si="3"/>
        <v>0.10021237688877502</v>
      </c>
    </row>
    <row r="62" spans="1:8" ht="15.75" customHeight="1">
      <c r="A62" s="4">
        <v>61</v>
      </c>
      <c r="B62" s="3">
        <v>21611</v>
      </c>
      <c r="C62" s="4">
        <v>28</v>
      </c>
      <c r="D62" s="13">
        <f t="shared" si="4"/>
        <v>39.652506397711882</v>
      </c>
      <c r="E62" s="13">
        <f t="shared" si="0"/>
        <v>-10.507433191107125</v>
      </c>
      <c r="F62" s="13">
        <f t="shared" si="1"/>
        <v>10.507433191107125</v>
      </c>
      <c r="G62" s="13">
        <f t="shared" si="2"/>
        <v>110.40615226557966</v>
      </c>
      <c r="H62" s="5">
        <f t="shared" si="3"/>
        <v>0.37526547111096875</v>
      </c>
    </row>
    <row r="63" spans="1:8" ht="15.75" customHeight="1">
      <c r="A63" s="4">
        <v>62</v>
      </c>
      <c r="B63" s="3">
        <v>21612</v>
      </c>
      <c r="C63" s="4">
        <v>45</v>
      </c>
      <c r="D63" s="13">
        <f t="shared" si="4"/>
        <v>39.671590951155295</v>
      </c>
      <c r="E63" s="13">
        <f t="shared" si="0"/>
        <v>6.4925668088928745</v>
      </c>
      <c r="F63" s="13">
        <f t="shared" si="1"/>
        <v>6.4925668088928745</v>
      </c>
      <c r="G63" s="13">
        <f t="shared" si="2"/>
        <v>42.153423767937404</v>
      </c>
      <c r="H63" s="5">
        <f t="shared" si="3"/>
        <v>0.14427926241984165</v>
      </c>
    </row>
    <row r="64" spans="1:8" ht="15.75" customHeight="1">
      <c r="A64" s="4">
        <v>63</v>
      </c>
      <c r="B64" s="3">
        <v>21613</v>
      </c>
      <c r="C64" s="4">
        <v>34</v>
      </c>
      <c r="D64" s="13">
        <f t="shared" si="4"/>
        <v>39.690675504598708</v>
      </c>
      <c r="E64" s="13">
        <f t="shared" si="0"/>
        <v>-4.5074331911071255</v>
      </c>
      <c r="F64" s="13">
        <f t="shared" si="1"/>
        <v>4.5074331911071255</v>
      </c>
      <c r="G64" s="13">
        <f t="shared" si="2"/>
        <v>20.316953972294165</v>
      </c>
      <c r="H64" s="5">
        <f t="shared" si="3"/>
        <v>0.13257156444432722</v>
      </c>
    </row>
    <row r="65" spans="1:8" ht="15.75" customHeight="1">
      <c r="A65" s="4">
        <v>64</v>
      </c>
      <c r="B65" s="3">
        <v>21614</v>
      </c>
      <c r="C65" s="4">
        <v>36</v>
      </c>
      <c r="D65" s="13">
        <f t="shared" si="4"/>
        <v>39.709760058042121</v>
      </c>
      <c r="E65" s="13">
        <f t="shared" si="0"/>
        <v>-2.5074331911071255</v>
      </c>
      <c r="F65" s="13">
        <f t="shared" si="1"/>
        <v>2.5074331911071255</v>
      </c>
      <c r="G65" s="13">
        <f t="shared" si="2"/>
        <v>6.2872212078656622</v>
      </c>
      <c r="H65" s="5">
        <f t="shared" si="3"/>
        <v>6.9650921975197927E-2</v>
      </c>
    </row>
    <row r="66" spans="1:8" ht="15.75" customHeight="1">
      <c r="A66" s="4">
        <v>65</v>
      </c>
      <c r="B66" s="3">
        <v>21615</v>
      </c>
      <c r="C66" s="4">
        <v>50</v>
      </c>
      <c r="D66" s="13">
        <f t="shared" si="4"/>
        <v>39.728844611485535</v>
      </c>
      <c r="E66" s="13">
        <f t="shared" ref="E66:E129" si="5">C66-solver_opt</f>
        <v>11.492566808892875</v>
      </c>
      <c r="F66" s="13">
        <f t="shared" si="1"/>
        <v>11.492566808892875</v>
      </c>
      <c r="G66" s="13">
        <f t="shared" si="2"/>
        <v>132.07909185686614</v>
      </c>
      <c r="H66" s="5">
        <f t="shared" si="3"/>
        <v>0.2298513361778575</v>
      </c>
    </row>
    <row r="67" spans="1:8" ht="15.75" customHeight="1">
      <c r="A67" s="4">
        <v>66</v>
      </c>
      <c r="B67" s="3">
        <v>21616</v>
      </c>
      <c r="C67" s="4">
        <v>44</v>
      </c>
      <c r="D67" s="13">
        <f t="shared" ref="D67:D130" si="6">_xlfn.FORECAST.LINEAR(A67,$C$2:$C$366,$A$2:$A$366)</f>
        <v>39.747929164928948</v>
      </c>
      <c r="E67" s="13">
        <f t="shared" si="5"/>
        <v>5.4925668088928745</v>
      </c>
      <c r="F67" s="13">
        <f t="shared" ref="F67:F130" si="7">ABS(E67)</f>
        <v>5.4925668088928745</v>
      </c>
      <c r="G67" s="13">
        <f t="shared" ref="G67:G130" si="8">F67^2</f>
        <v>30.168290150151655</v>
      </c>
      <c r="H67" s="5">
        <f t="shared" ref="H67:H130" si="9">F67/C67</f>
        <v>0.12483106383847442</v>
      </c>
    </row>
    <row r="68" spans="1:8" ht="15.75" customHeight="1">
      <c r="A68" s="4">
        <v>67</v>
      </c>
      <c r="B68" s="3">
        <v>21617</v>
      </c>
      <c r="C68" s="4">
        <v>39</v>
      </c>
      <c r="D68" s="13">
        <f t="shared" si="6"/>
        <v>39.767013718372361</v>
      </c>
      <c r="E68" s="13">
        <f t="shared" si="5"/>
        <v>0.49256680889287452</v>
      </c>
      <c r="F68" s="13">
        <f t="shared" si="7"/>
        <v>0.49256680889287452</v>
      </c>
      <c r="G68" s="13">
        <f t="shared" si="8"/>
        <v>0.24262206122290958</v>
      </c>
      <c r="H68" s="5">
        <f t="shared" si="9"/>
        <v>1.2629918176740373E-2</v>
      </c>
    </row>
    <row r="69" spans="1:8" ht="15.75" customHeight="1">
      <c r="A69" s="4">
        <v>68</v>
      </c>
      <c r="B69" s="3">
        <v>21618</v>
      </c>
      <c r="C69" s="4">
        <v>32</v>
      </c>
      <c r="D69" s="13">
        <f t="shared" si="6"/>
        <v>39.786098271815774</v>
      </c>
      <c r="E69" s="13">
        <f t="shared" si="5"/>
        <v>-6.5074331911071255</v>
      </c>
      <c r="F69" s="13">
        <f t="shared" si="7"/>
        <v>6.5074331911071255</v>
      </c>
      <c r="G69" s="13">
        <f t="shared" si="8"/>
        <v>42.346686736722667</v>
      </c>
      <c r="H69" s="5">
        <f t="shared" si="9"/>
        <v>0.20335728722209767</v>
      </c>
    </row>
    <row r="70" spans="1:8" ht="15.75" customHeight="1">
      <c r="A70" s="4">
        <v>69</v>
      </c>
      <c r="B70" s="3">
        <v>21619</v>
      </c>
      <c r="C70" s="4">
        <v>39</v>
      </c>
      <c r="D70" s="13">
        <f t="shared" si="6"/>
        <v>39.80518282525918</v>
      </c>
      <c r="E70" s="13">
        <f t="shared" si="5"/>
        <v>0.49256680889287452</v>
      </c>
      <c r="F70" s="13">
        <f t="shared" si="7"/>
        <v>0.49256680889287452</v>
      </c>
      <c r="G70" s="13">
        <f t="shared" si="8"/>
        <v>0.24262206122290958</v>
      </c>
      <c r="H70" s="5">
        <f t="shared" si="9"/>
        <v>1.2629918176740373E-2</v>
      </c>
    </row>
    <row r="71" spans="1:8" ht="15.75" customHeight="1">
      <c r="A71" s="4">
        <v>70</v>
      </c>
      <c r="B71" s="3">
        <v>21620</v>
      </c>
      <c r="C71" s="4">
        <v>45</v>
      </c>
      <c r="D71" s="13">
        <f t="shared" si="6"/>
        <v>39.824267378702594</v>
      </c>
      <c r="E71" s="13">
        <f t="shared" si="5"/>
        <v>6.4925668088928745</v>
      </c>
      <c r="F71" s="13">
        <f t="shared" si="7"/>
        <v>6.4925668088928745</v>
      </c>
      <c r="G71" s="13">
        <f t="shared" si="8"/>
        <v>42.153423767937404</v>
      </c>
      <c r="H71" s="5">
        <f t="shared" si="9"/>
        <v>0.14427926241984165</v>
      </c>
    </row>
    <row r="72" spans="1:8" ht="15.75" customHeight="1">
      <c r="A72" s="4">
        <v>71</v>
      </c>
      <c r="B72" s="3">
        <v>21621</v>
      </c>
      <c r="C72" s="4">
        <v>43</v>
      </c>
      <c r="D72" s="13">
        <f t="shared" si="6"/>
        <v>39.843351932146007</v>
      </c>
      <c r="E72" s="13">
        <f t="shared" si="5"/>
        <v>4.4925668088928745</v>
      </c>
      <c r="F72" s="13">
        <f t="shared" si="7"/>
        <v>4.4925668088928745</v>
      </c>
      <c r="G72" s="13">
        <f t="shared" si="8"/>
        <v>20.183156532365906</v>
      </c>
      <c r="H72" s="5">
        <f t="shared" si="9"/>
        <v>0.10447829788122964</v>
      </c>
    </row>
    <row r="73" spans="1:8" ht="15.75" customHeight="1">
      <c r="A73" s="4">
        <v>72</v>
      </c>
      <c r="B73" s="3">
        <v>21622</v>
      </c>
      <c r="C73" s="4">
        <v>39</v>
      </c>
      <c r="D73" s="13">
        <f t="shared" si="6"/>
        <v>39.86243648558942</v>
      </c>
      <c r="E73" s="13">
        <f t="shared" si="5"/>
        <v>0.49256680889287452</v>
      </c>
      <c r="F73" s="13">
        <f t="shared" si="7"/>
        <v>0.49256680889287452</v>
      </c>
      <c r="G73" s="13">
        <f t="shared" si="8"/>
        <v>0.24262206122290958</v>
      </c>
      <c r="H73" s="5">
        <f t="shared" si="9"/>
        <v>1.2629918176740373E-2</v>
      </c>
    </row>
    <row r="74" spans="1:8" ht="15.75" customHeight="1">
      <c r="A74" s="4">
        <v>73</v>
      </c>
      <c r="B74" s="3">
        <v>21623</v>
      </c>
      <c r="C74" s="4">
        <v>31</v>
      </c>
      <c r="D74" s="13">
        <f t="shared" si="6"/>
        <v>39.881521039032833</v>
      </c>
      <c r="E74" s="13">
        <f t="shared" si="5"/>
        <v>-7.5074331911071255</v>
      </c>
      <c r="F74" s="13">
        <f t="shared" si="7"/>
        <v>7.5074331911071255</v>
      </c>
      <c r="G74" s="13">
        <f t="shared" si="8"/>
        <v>56.361553118936918</v>
      </c>
      <c r="H74" s="5">
        <f t="shared" si="9"/>
        <v>0.24217526422926211</v>
      </c>
    </row>
    <row r="75" spans="1:8" ht="15.75" customHeight="1">
      <c r="A75" s="4">
        <v>74</v>
      </c>
      <c r="B75" s="3">
        <v>21624</v>
      </c>
      <c r="C75" s="4">
        <v>27</v>
      </c>
      <c r="D75" s="13">
        <f t="shared" si="6"/>
        <v>39.900605592476246</v>
      </c>
      <c r="E75" s="13">
        <f t="shared" si="5"/>
        <v>-11.507433191107125</v>
      </c>
      <c r="F75" s="13">
        <f t="shared" si="7"/>
        <v>11.507433191107125</v>
      </c>
      <c r="G75" s="13">
        <f t="shared" si="8"/>
        <v>132.42101864779391</v>
      </c>
      <c r="H75" s="5">
        <f t="shared" si="9"/>
        <v>0.42620122930026388</v>
      </c>
    </row>
    <row r="76" spans="1:8" ht="15.75" customHeight="1">
      <c r="A76" s="4">
        <v>75</v>
      </c>
      <c r="B76" s="3">
        <v>21625</v>
      </c>
      <c r="C76" s="4">
        <v>30</v>
      </c>
      <c r="D76" s="13">
        <f t="shared" si="6"/>
        <v>39.91969014591966</v>
      </c>
      <c r="E76" s="13">
        <f t="shared" si="5"/>
        <v>-8.5074331911071255</v>
      </c>
      <c r="F76" s="13">
        <f t="shared" si="7"/>
        <v>8.5074331911071255</v>
      </c>
      <c r="G76" s="13">
        <f t="shared" si="8"/>
        <v>72.376419501151162</v>
      </c>
      <c r="H76" s="5">
        <f t="shared" si="9"/>
        <v>0.28358110637023753</v>
      </c>
    </row>
    <row r="77" spans="1:8" ht="15.75" customHeight="1">
      <c r="A77" s="4">
        <v>76</v>
      </c>
      <c r="B77" s="3">
        <v>21626</v>
      </c>
      <c r="C77" s="4">
        <v>42</v>
      </c>
      <c r="D77" s="13">
        <f t="shared" si="6"/>
        <v>39.938774699363073</v>
      </c>
      <c r="E77" s="13">
        <f t="shared" si="5"/>
        <v>3.4925668088928745</v>
      </c>
      <c r="F77" s="13">
        <f t="shared" si="7"/>
        <v>3.4925668088928745</v>
      </c>
      <c r="G77" s="13">
        <f t="shared" si="8"/>
        <v>12.198022914580157</v>
      </c>
      <c r="H77" s="5">
        <f t="shared" si="9"/>
        <v>8.3156352592687485E-2</v>
      </c>
    </row>
    <row r="78" spans="1:8" ht="15.75" customHeight="1">
      <c r="A78" s="4">
        <v>77</v>
      </c>
      <c r="B78" s="3">
        <v>21627</v>
      </c>
      <c r="C78" s="4">
        <v>46</v>
      </c>
      <c r="D78" s="13">
        <f t="shared" si="6"/>
        <v>39.957859252806486</v>
      </c>
      <c r="E78" s="13">
        <f t="shared" si="5"/>
        <v>7.4925668088928745</v>
      </c>
      <c r="F78" s="13">
        <f t="shared" si="7"/>
        <v>7.4925668088928745</v>
      </c>
      <c r="G78" s="13">
        <f t="shared" si="8"/>
        <v>56.138557385723153</v>
      </c>
      <c r="H78" s="5">
        <f t="shared" si="9"/>
        <v>0.16288188714984511</v>
      </c>
    </row>
    <row r="79" spans="1:8" ht="15.75" customHeight="1">
      <c r="A79" s="4">
        <v>78</v>
      </c>
      <c r="B79" s="3">
        <v>21628</v>
      </c>
      <c r="C79" s="4">
        <v>41</v>
      </c>
      <c r="D79" s="13">
        <f t="shared" si="6"/>
        <v>39.976943806249899</v>
      </c>
      <c r="E79" s="13">
        <f t="shared" si="5"/>
        <v>2.4925668088928745</v>
      </c>
      <c r="F79" s="13">
        <f t="shared" si="7"/>
        <v>2.4925668088928745</v>
      </c>
      <c r="G79" s="13">
        <f t="shared" si="8"/>
        <v>6.2128892967944074</v>
      </c>
      <c r="H79" s="5">
        <f t="shared" si="9"/>
        <v>6.079431241202133E-2</v>
      </c>
    </row>
    <row r="80" spans="1:8" ht="15.75" customHeight="1">
      <c r="A80" s="4">
        <v>79</v>
      </c>
      <c r="B80" s="3">
        <v>21629</v>
      </c>
      <c r="C80" s="4">
        <v>36</v>
      </c>
      <c r="D80" s="13">
        <f t="shared" si="6"/>
        <v>39.996028359693312</v>
      </c>
      <c r="E80" s="13">
        <f t="shared" si="5"/>
        <v>-2.5074331911071255</v>
      </c>
      <c r="F80" s="13">
        <f t="shared" si="7"/>
        <v>2.5074331911071255</v>
      </c>
      <c r="G80" s="13">
        <f t="shared" si="8"/>
        <v>6.2872212078656622</v>
      </c>
      <c r="H80" s="5">
        <f t="shared" si="9"/>
        <v>6.9650921975197927E-2</v>
      </c>
    </row>
    <row r="81" spans="1:8" ht="15.75" customHeight="1">
      <c r="A81" s="4">
        <v>80</v>
      </c>
      <c r="B81" s="3">
        <v>21630</v>
      </c>
      <c r="C81" s="4">
        <v>45</v>
      </c>
      <c r="D81" s="13">
        <f t="shared" si="6"/>
        <v>40.015112913136726</v>
      </c>
      <c r="E81" s="13">
        <f t="shared" si="5"/>
        <v>6.4925668088928745</v>
      </c>
      <c r="F81" s="13">
        <f t="shared" si="7"/>
        <v>6.4925668088928745</v>
      </c>
      <c r="G81" s="13">
        <f t="shared" si="8"/>
        <v>42.153423767937404</v>
      </c>
      <c r="H81" s="5">
        <f t="shared" si="9"/>
        <v>0.14427926241984165</v>
      </c>
    </row>
    <row r="82" spans="1:8" ht="15.75" customHeight="1">
      <c r="A82" s="4">
        <v>81</v>
      </c>
      <c r="B82" s="3">
        <v>21631</v>
      </c>
      <c r="C82" s="4">
        <v>46</v>
      </c>
      <c r="D82" s="13">
        <f t="shared" si="6"/>
        <v>40.034197466580132</v>
      </c>
      <c r="E82" s="13">
        <f t="shared" si="5"/>
        <v>7.4925668088928745</v>
      </c>
      <c r="F82" s="13">
        <f t="shared" si="7"/>
        <v>7.4925668088928745</v>
      </c>
      <c r="G82" s="13">
        <f t="shared" si="8"/>
        <v>56.138557385723153</v>
      </c>
      <c r="H82" s="5">
        <f t="shared" si="9"/>
        <v>0.16288188714984511</v>
      </c>
    </row>
    <row r="83" spans="1:8" ht="15.75" customHeight="1">
      <c r="A83" s="4">
        <v>82</v>
      </c>
      <c r="B83" s="3">
        <v>21632</v>
      </c>
      <c r="C83" s="4">
        <v>43</v>
      </c>
      <c r="D83" s="13">
        <f t="shared" si="6"/>
        <v>40.053282020023545</v>
      </c>
      <c r="E83" s="13">
        <f t="shared" si="5"/>
        <v>4.4925668088928745</v>
      </c>
      <c r="F83" s="13">
        <f t="shared" si="7"/>
        <v>4.4925668088928745</v>
      </c>
      <c r="G83" s="13">
        <f t="shared" si="8"/>
        <v>20.183156532365906</v>
      </c>
      <c r="H83" s="5">
        <f t="shared" si="9"/>
        <v>0.10447829788122964</v>
      </c>
    </row>
    <row r="84" spans="1:8" ht="15.75" customHeight="1">
      <c r="A84" s="4">
        <v>83</v>
      </c>
      <c r="B84" s="3">
        <v>21633</v>
      </c>
      <c r="C84" s="4">
        <v>38</v>
      </c>
      <c r="D84" s="13">
        <f t="shared" si="6"/>
        <v>40.072366573466958</v>
      </c>
      <c r="E84" s="13">
        <f t="shared" si="5"/>
        <v>-0.50743319110712548</v>
      </c>
      <c r="F84" s="13">
        <f t="shared" si="7"/>
        <v>0.50743319110712548</v>
      </c>
      <c r="G84" s="13">
        <f t="shared" si="8"/>
        <v>0.25748844343716054</v>
      </c>
      <c r="H84" s="5">
        <f t="shared" si="9"/>
        <v>1.3353505029134882E-2</v>
      </c>
    </row>
    <row r="85" spans="1:8" ht="15.75" customHeight="1">
      <c r="A85" s="4">
        <v>84</v>
      </c>
      <c r="B85" s="3">
        <v>21634</v>
      </c>
      <c r="C85" s="4">
        <v>34</v>
      </c>
      <c r="D85" s="13">
        <f t="shared" si="6"/>
        <v>40.091451126910371</v>
      </c>
      <c r="E85" s="13">
        <f t="shared" si="5"/>
        <v>-4.5074331911071255</v>
      </c>
      <c r="F85" s="13">
        <f t="shared" si="7"/>
        <v>4.5074331911071255</v>
      </c>
      <c r="G85" s="13">
        <f t="shared" si="8"/>
        <v>20.316953972294165</v>
      </c>
      <c r="H85" s="5">
        <f t="shared" si="9"/>
        <v>0.13257156444432722</v>
      </c>
    </row>
    <row r="86" spans="1:8" ht="15.75" customHeight="1">
      <c r="A86" s="4">
        <v>85</v>
      </c>
      <c r="B86" s="3">
        <v>21635</v>
      </c>
      <c r="C86" s="4">
        <v>35</v>
      </c>
      <c r="D86" s="13">
        <f t="shared" si="6"/>
        <v>40.110535680353784</v>
      </c>
      <c r="E86" s="13">
        <f t="shared" si="5"/>
        <v>-3.5074331911071255</v>
      </c>
      <c r="F86" s="13">
        <f t="shared" si="7"/>
        <v>3.5074331911071255</v>
      </c>
      <c r="G86" s="13">
        <f t="shared" si="8"/>
        <v>12.302087590079914</v>
      </c>
      <c r="H86" s="5">
        <f t="shared" si="9"/>
        <v>0.10021237688877502</v>
      </c>
    </row>
    <row r="87" spans="1:8" ht="15.75" customHeight="1">
      <c r="A87" s="4">
        <v>86</v>
      </c>
      <c r="B87" s="3">
        <v>21636</v>
      </c>
      <c r="C87" s="4">
        <v>56</v>
      </c>
      <c r="D87" s="13">
        <f t="shared" si="6"/>
        <v>40.129620233797198</v>
      </c>
      <c r="E87" s="13">
        <f t="shared" si="5"/>
        <v>17.492566808892875</v>
      </c>
      <c r="F87" s="13">
        <f t="shared" si="7"/>
        <v>17.492566808892875</v>
      </c>
      <c r="G87" s="13">
        <f t="shared" si="8"/>
        <v>305.98989356358067</v>
      </c>
      <c r="H87" s="5">
        <f t="shared" si="9"/>
        <v>0.31236726444451562</v>
      </c>
    </row>
    <row r="88" spans="1:8" ht="15.75" customHeight="1">
      <c r="A88" s="4">
        <v>87</v>
      </c>
      <c r="B88" s="3">
        <v>21637</v>
      </c>
      <c r="C88" s="4">
        <v>36</v>
      </c>
      <c r="D88" s="13">
        <f t="shared" si="6"/>
        <v>40.148704787240611</v>
      </c>
      <c r="E88" s="13">
        <f t="shared" si="5"/>
        <v>-2.5074331911071255</v>
      </c>
      <c r="F88" s="13">
        <f t="shared" si="7"/>
        <v>2.5074331911071255</v>
      </c>
      <c r="G88" s="13">
        <f t="shared" si="8"/>
        <v>6.2872212078656622</v>
      </c>
      <c r="H88" s="5">
        <f t="shared" si="9"/>
        <v>6.9650921975197927E-2</v>
      </c>
    </row>
    <row r="89" spans="1:8" ht="15.75" customHeight="1">
      <c r="A89" s="4">
        <v>88</v>
      </c>
      <c r="B89" s="3">
        <v>21638</v>
      </c>
      <c r="C89" s="4">
        <v>32</v>
      </c>
      <c r="D89" s="13">
        <f t="shared" si="6"/>
        <v>40.167789340684024</v>
      </c>
      <c r="E89" s="13">
        <f t="shared" si="5"/>
        <v>-6.5074331911071255</v>
      </c>
      <c r="F89" s="13">
        <f t="shared" si="7"/>
        <v>6.5074331911071255</v>
      </c>
      <c r="G89" s="13">
        <f t="shared" si="8"/>
        <v>42.346686736722667</v>
      </c>
      <c r="H89" s="5">
        <f t="shared" si="9"/>
        <v>0.20335728722209767</v>
      </c>
    </row>
    <row r="90" spans="1:8" ht="15.75" customHeight="1">
      <c r="A90" s="4">
        <v>89</v>
      </c>
      <c r="B90" s="3">
        <v>21639</v>
      </c>
      <c r="C90" s="4">
        <v>50</v>
      </c>
      <c r="D90" s="13">
        <f t="shared" si="6"/>
        <v>40.186873894127437</v>
      </c>
      <c r="E90" s="13">
        <f t="shared" si="5"/>
        <v>11.492566808892875</v>
      </c>
      <c r="F90" s="13">
        <f t="shared" si="7"/>
        <v>11.492566808892875</v>
      </c>
      <c r="G90" s="13">
        <f t="shared" si="8"/>
        <v>132.07909185686614</v>
      </c>
      <c r="H90" s="5">
        <f t="shared" si="9"/>
        <v>0.2298513361778575</v>
      </c>
    </row>
    <row r="91" spans="1:8" ht="15.75" customHeight="1">
      <c r="A91" s="4">
        <v>90</v>
      </c>
      <c r="B91" s="3">
        <v>21640</v>
      </c>
      <c r="C91" s="4">
        <v>41</v>
      </c>
      <c r="D91" s="13">
        <f t="shared" si="6"/>
        <v>40.20595844757085</v>
      </c>
      <c r="E91" s="13">
        <f t="shared" si="5"/>
        <v>2.4925668088928745</v>
      </c>
      <c r="F91" s="13">
        <f t="shared" si="7"/>
        <v>2.4925668088928745</v>
      </c>
      <c r="G91" s="13">
        <f t="shared" si="8"/>
        <v>6.2128892967944074</v>
      </c>
      <c r="H91" s="5">
        <f t="shared" si="9"/>
        <v>6.079431241202133E-2</v>
      </c>
    </row>
    <row r="92" spans="1:8" ht="15.75" customHeight="1">
      <c r="A92" s="4">
        <v>91</v>
      </c>
      <c r="B92" s="3">
        <v>21641</v>
      </c>
      <c r="C92" s="4">
        <v>39</v>
      </c>
      <c r="D92" s="13">
        <f t="shared" si="6"/>
        <v>40.225043001014264</v>
      </c>
      <c r="E92" s="13">
        <f t="shared" si="5"/>
        <v>0.49256680889287452</v>
      </c>
      <c r="F92" s="13">
        <f t="shared" si="7"/>
        <v>0.49256680889287452</v>
      </c>
      <c r="G92" s="13">
        <f t="shared" si="8"/>
        <v>0.24262206122290958</v>
      </c>
      <c r="H92" s="5">
        <f t="shared" si="9"/>
        <v>1.2629918176740373E-2</v>
      </c>
    </row>
    <row r="93" spans="1:8" ht="15.75" customHeight="1">
      <c r="A93" s="4">
        <v>92</v>
      </c>
      <c r="B93" s="3">
        <v>21642</v>
      </c>
      <c r="C93" s="4">
        <v>41</v>
      </c>
      <c r="D93" s="13">
        <f t="shared" si="6"/>
        <v>40.244127554457677</v>
      </c>
      <c r="E93" s="13">
        <f t="shared" si="5"/>
        <v>2.4925668088928745</v>
      </c>
      <c r="F93" s="13">
        <f t="shared" si="7"/>
        <v>2.4925668088928745</v>
      </c>
      <c r="G93" s="13">
        <f t="shared" si="8"/>
        <v>6.2128892967944074</v>
      </c>
      <c r="H93" s="5">
        <f t="shared" si="9"/>
        <v>6.079431241202133E-2</v>
      </c>
    </row>
    <row r="94" spans="1:8" ht="15.75" customHeight="1">
      <c r="A94" s="4">
        <v>93</v>
      </c>
      <c r="B94" s="3">
        <v>21643</v>
      </c>
      <c r="C94" s="4">
        <v>47</v>
      </c>
      <c r="D94" s="13">
        <f t="shared" si="6"/>
        <v>40.263212107901083</v>
      </c>
      <c r="E94" s="13">
        <f t="shared" si="5"/>
        <v>8.4925668088928745</v>
      </c>
      <c r="F94" s="13">
        <f t="shared" si="7"/>
        <v>8.4925668088928745</v>
      </c>
      <c r="G94" s="13">
        <f t="shared" si="8"/>
        <v>72.123691003508895</v>
      </c>
      <c r="H94" s="5">
        <f t="shared" si="9"/>
        <v>0.18069291082750796</v>
      </c>
    </row>
    <row r="95" spans="1:8" ht="15.75" customHeight="1">
      <c r="A95" s="4">
        <v>94</v>
      </c>
      <c r="B95" s="3">
        <v>21644</v>
      </c>
      <c r="C95" s="4">
        <v>34</v>
      </c>
      <c r="D95" s="13">
        <f t="shared" si="6"/>
        <v>40.282296661344496</v>
      </c>
      <c r="E95" s="13">
        <f t="shared" si="5"/>
        <v>-4.5074331911071255</v>
      </c>
      <c r="F95" s="13">
        <f t="shared" si="7"/>
        <v>4.5074331911071255</v>
      </c>
      <c r="G95" s="13">
        <f t="shared" si="8"/>
        <v>20.316953972294165</v>
      </c>
      <c r="H95" s="5">
        <f t="shared" si="9"/>
        <v>0.13257156444432722</v>
      </c>
    </row>
    <row r="96" spans="1:8" ht="15.75" customHeight="1">
      <c r="A96" s="4">
        <v>95</v>
      </c>
      <c r="B96" s="3">
        <v>21645</v>
      </c>
      <c r="C96" s="4">
        <v>36</v>
      </c>
      <c r="D96" s="13">
        <f t="shared" si="6"/>
        <v>40.301381214787909</v>
      </c>
      <c r="E96" s="13">
        <f t="shared" si="5"/>
        <v>-2.5074331911071255</v>
      </c>
      <c r="F96" s="13">
        <f t="shared" si="7"/>
        <v>2.5074331911071255</v>
      </c>
      <c r="G96" s="13">
        <f t="shared" si="8"/>
        <v>6.2872212078656622</v>
      </c>
      <c r="H96" s="5">
        <f t="shared" si="9"/>
        <v>6.9650921975197927E-2</v>
      </c>
    </row>
    <row r="97" spans="1:8" ht="15.75" customHeight="1">
      <c r="A97" s="4">
        <v>96</v>
      </c>
      <c r="B97" s="3">
        <v>21646</v>
      </c>
      <c r="C97" s="4">
        <v>33</v>
      </c>
      <c r="D97" s="13">
        <f t="shared" si="6"/>
        <v>40.320465768231323</v>
      </c>
      <c r="E97" s="13">
        <f t="shared" si="5"/>
        <v>-5.5074331911071255</v>
      </c>
      <c r="F97" s="13">
        <f t="shared" si="7"/>
        <v>5.5074331911071255</v>
      </c>
      <c r="G97" s="13">
        <f t="shared" si="8"/>
        <v>30.331820354508416</v>
      </c>
      <c r="H97" s="5">
        <f t="shared" si="9"/>
        <v>0.16689191488203411</v>
      </c>
    </row>
    <row r="98" spans="1:8" ht="15.75" customHeight="1">
      <c r="A98" s="4">
        <v>97</v>
      </c>
      <c r="B98" s="3">
        <v>21647</v>
      </c>
      <c r="C98" s="4">
        <v>35</v>
      </c>
      <c r="D98" s="13">
        <f t="shared" si="6"/>
        <v>40.339550321674736</v>
      </c>
      <c r="E98" s="13">
        <f t="shared" si="5"/>
        <v>-3.5074331911071255</v>
      </c>
      <c r="F98" s="13">
        <f t="shared" si="7"/>
        <v>3.5074331911071255</v>
      </c>
      <c r="G98" s="13">
        <f t="shared" si="8"/>
        <v>12.302087590079914</v>
      </c>
      <c r="H98" s="5">
        <f t="shared" si="9"/>
        <v>0.10021237688877502</v>
      </c>
    </row>
    <row r="99" spans="1:8" ht="15.75" customHeight="1">
      <c r="A99" s="4">
        <v>98</v>
      </c>
      <c r="B99" s="3">
        <v>21648</v>
      </c>
      <c r="C99" s="4">
        <v>38</v>
      </c>
      <c r="D99" s="13">
        <f t="shared" si="6"/>
        <v>40.358634875118149</v>
      </c>
      <c r="E99" s="13">
        <f t="shared" si="5"/>
        <v>-0.50743319110712548</v>
      </c>
      <c r="F99" s="13">
        <f t="shared" si="7"/>
        <v>0.50743319110712548</v>
      </c>
      <c r="G99" s="13">
        <f t="shared" si="8"/>
        <v>0.25748844343716054</v>
      </c>
      <c r="H99" s="5">
        <f t="shared" si="9"/>
        <v>1.3353505029134882E-2</v>
      </c>
    </row>
    <row r="100" spans="1:8" ht="15.75" customHeight="1">
      <c r="A100" s="4">
        <v>99</v>
      </c>
      <c r="B100" s="3">
        <v>21649</v>
      </c>
      <c r="C100" s="4">
        <v>38</v>
      </c>
      <c r="D100" s="13">
        <f t="shared" si="6"/>
        <v>40.377719428561562</v>
      </c>
      <c r="E100" s="13">
        <f t="shared" si="5"/>
        <v>-0.50743319110712548</v>
      </c>
      <c r="F100" s="13">
        <f t="shared" si="7"/>
        <v>0.50743319110712548</v>
      </c>
      <c r="G100" s="13">
        <f t="shared" si="8"/>
        <v>0.25748844343716054</v>
      </c>
      <c r="H100" s="5">
        <f t="shared" si="9"/>
        <v>1.3353505029134882E-2</v>
      </c>
    </row>
    <row r="101" spans="1:8" ht="15.75" customHeight="1">
      <c r="A101" s="4">
        <v>100</v>
      </c>
      <c r="B101" s="3">
        <v>21650</v>
      </c>
      <c r="C101" s="4">
        <v>34</v>
      </c>
      <c r="D101" s="13">
        <f t="shared" si="6"/>
        <v>40.396803982004975</v>
      </c>
      <c r="E101" s="13">
        <f t="shared" si="5"/>
        <v>-4.5074331911071255</v>
      </c>
      <c r="F101" s="13">
        <f t="shared" si="7"/>
        <v>4.5074331911071255</v>
      </c>
      <c r="G101" s="13">
        <f t="shared" si="8"/>
        <v>20.316953972294165</v>
      </c>
      <c r="H101" s="5">
        <f t="shared" si="9"/>
        <v>0.13257156444432722</v>
      </c>
    </row>
    <row r="102" spans="1:8" ht="15.75" customHeight="1">
      <c r="A102" s="4">
        <v>101</v>
      </c>
      <c r="B102" s="3">
        <v>21651</v>
      </c>
      <c r="C102" s="4">
        <v>53</v>
      </c>
      <c r="D102" s="13">
        <f t="shared" si="6"/>
        <v>40.415888535448389</v>
      </c>
      <c r="E102" s="13">
        <f t="shared" si="5"/>
        <v>14.492566808892875</v>
      </c>
      <c r="F102" s="13">
        <f t="shared" si="7"/>
        <v>14.492566808892875</v>
      </c>
      <c r="G102" s="13">
        <f t="shared" si="8"/>
        <v>210.03449271022339</v>
      </c>
      <c r="H102" s="5">
        <f t="shared" si="9"/>
        <v>0.27344465677156365</v>
      </c>
    </row>
    <row r="103" spans="1:8" ht="15.75" customHeight="1">
      <c r="A103" s="4">
        <v>102</v>
      </c>
      <c r="B103" s="3">
        <v>21652</v>
      </c>
      <c r="C103" s="4">
        <v>34</v>
      </c>
      <c r="D103" s="13">
        <f t="shared" si="6"/>
        <v>40.434973088891802</v>
      </c>
      <c r="E103" s="13">
        <f t="shared" si="5"/>
        <v>-4.5074331911071255</v>
      </c>
      <c r="F103" s="13">
        <f t="shared" si="7"/>
        <v>4.5074331911071255</v>
      </c>
      <c r="G103" s="13">
        <f t="shared" si="8"/>
        <v>20.316953972294165</v>
      </c>
      <c r="H103" s="5">
        <f t="shared" si="9"/>
        <v>0.13257156444432722</v>
      </c>
    </row>
    <row r="104" spans="1:8" ht="15.75" customHeight="1">
      <c r="A104" s="4">
        <v>103</v>
      </c>
      <c r="B104" s="3">
        <v>21653</v>
      </c>
      <c r="C104" s="4">
        <v>34</v>
      </c>
      <c r="D104" s="13">
        <f t="shared" si="6"/>
        <v>40.454057642335215</v>
      </c>
      <c r="E104" s="13">
        <f t="shared" si="5"/>
        <v>-4.5074331911071255</v>
      </c>
      <c r="F104" s="13">
        <f t="shared" si="7"/>
        <v>4.5074331911071255</v>
      </c>
      <c r="G104" s="13">
        <f t="shared" si="8"/>
        <v>20.316953972294165</v>
      </c>
      <c r="H104" s="5">
        <f t="shared" si="9"/>
        <v>0.13257156444432722</v>
      </c>
    </row>
    <row r="105" spans="1:8" ht="15.75" customHeight="1">
      <c r="A105" s="4">
        <v>104</v>
      </c>
      <c r="B105" s="3">
        <v>21654</v>
      </c>
      <c r="C105" s="4">
        <v>38</v>
      </c>
      <c r="D105" s="13">
        <f t="shared" si="6"/>
        <v>40.473142195778628</v>
      </c>
      <c r="E105" s="13">
        <f t="shared" si="5"/>
        <v>-0.50743319110712548</v>
      </c>
      <c r="F105" s="13">
        <f t="shared" si="7"/>
        <v>0.50743319110712548</v>
      </c>
      <c r="G105" s="13">
        <f t="shared" si="8"/>
        <v>0.25748844343716054</v>
      </c>
      <c r="H105" s="5">
        <f t="shared" si="9"/>
        <v>1.3353505029134882E-2</v>
      </c>
    </row>
    <row r="106" spans="1:8" ht="15.75" customHeight="1">
      <c r="A106" s="4">
        <v>105</v>
      </c>
      <c r="B106" s="3">
        <v>21655</v>
      </c>
      <c r="C106" s="4">
        <v>35</v>
      </c>
      <c r="D106" s="13">
        <f t="shared" si="6"/>
        <v>40.492226749222041</v>
      </c>
      <c r="E106" s="13">
        <f t="shared" si="5"/>
        <v>-3.5074331911071255</v>
      </c>
      <c r="F106" s="13">
        <f t="shared" si="7"/>
        <v>3.5074331911071255</v>
      </c>
      <c r="G106" s="13">
        <f t="shared" si="8"/>
        <v>12.302087590079914</v>
      </c>
      <c r="H106" s="5">
        <f t="shared" si="9"/>
        <v>0.10021237688877502</v>
      </c>
    </row>
    <row r="107" spans="1:8" ht="15.75" customHeight="1">
      <c r="A107" s="4">
        <v>106</v>
      </c>
      <c r="B107" s="3">
        <v>21656</v>
      </c>
      <c r="C107" s="4">
        <v>32</v>
      </c>
      <c r="D107" s="13">
        <f t="shared" si="6"/>
        <v>40.511311302665447</v>
      </c>
      <c r="E107" s="13">
        <f t="shared" si="5"/>
        <v>-6.5074331911071255</v>
      </c>
      <c r="F107" s="13">
        <f t="shared" si="7"/>
        <v>6.5074331911071255</v>
      </c>
      <c r="G107" s="13">
        <f t="shared" si="8"/>
        <v>42.346686736722667</v>
      </c>
      <c r="H107" s="5">
        <f t="shared" si="9"/>
        <v>0.20335728722209767</v>
      </c>
    </row>
    <row r="108" spans="1:8" ht="15.75" customHeight="1">
      <c r="A108" s="4">
        <v>107</v>
      </c>
      <c r="B108" s="3">
        <v>21657</v>
      </c>
      <c r="C108" s="4">
        <v>42</v>
      </c>
      <c r="D108" s="13">
        <f t="shared" si="6"/>
        <v>40.530395856108861</v>
      </c>
      <c r="E108" s="13">
        <f t="shared" si="5"/>
        <v>3.4925668088928745</v>
      </c>
      <c r="F108" s="13">
        <f t="shared" si="7"/>
        <v>3.4925668088928745</v>
      </c>
      <c r="G108" s="13">
        <f t="shared" si="8"/>
        <v>12.198022914580157</v>
      </c>
      <c r="H108" s="5">
        <f t="shared" si="9"/>
        <v>8.3156352592687485E-2</v>
      </c>
    </row>
    <row r="109" spans="1:8" ht="15.75" customHeight="1">
      <c r="A109" s="4">
        <v>108</v>
      </c>
      <c r="B109" s="3">
        <v>21658</v>
      </c>
      <c r="C109" s="4">
        <v>34</v>
      </c>
      <c r="D109" s="13">
        <f t="shared" si="6"/>
        <v>40.549480409552274</v>
      </c>
      <c r="E109" s="13">
        <f t="shared" si="5"/>
        <v>-4.5074331911071255</v>
      </c>
      <c r="F109" s="13">
        <f t="shared" si="7"/>
        <v>4.5074331911071255</v>
      </c>
      <c r="G109" s="13">
        <f t="shared" si="8"/>
        <v>20.316953972294165</v>
      </c>
      <c r="H109" s="5">
        <f t="shared" si="9"/>
        <v>0.13257156444432722</v>
      </c>
    </row>
    <row r="110" spans="1:8" ht="15.75" customHeight="1">
      <c r="A110" s="4">
        <v>109</v>
      </c>
      <c r="B110" s="3">
        <v>21659</v>
      </c>
      <c r="C110" s="4">
        <v>46</v>
      </c>
      <c r="D110" s="13">
        <f t="shared" si="6"/>
        <v>40.568564962995687</v>
      </c>
      <c r="E110" s="13">
        <f t="shared" si="5"/>
        <v>7.4925668088928745</v>
      </c>
      <c r="F110" s="13">
        <f t="shared" si="7"/>
        <v>7.4925668088928745</v>
      </c>
      <c r="G110" s="13">
        <f t="shared" si="8"/>
        <v>56.138557385723153</v>
      </c>
      <c r="H110" s="5">
        <f t="shared" si="9"/>
        <v>0.16288188714984511</v>
      </c>
    </row>
    <row r="111" spans="1:8" ht="15.75" customHeight="1">
      <c r="A111" s="4">
        <v>110</v>
      </c>
      <c r="B111" s="3">
        <v>21660</v>
      </c>
      <c r="C111" s="4">
        <v>30</v>
      </c>
      <c r="D111" s="13">
        <f t="shared" si="6"/>
        <v>40.5876495164391</v>
      </c>
      <c r="E111" s="13">
        <f t="shared" si="5"/>
        <v>-8.5074331911071255</v>
      </c>
      <c r="F111" s="13">
        <f t="shared" si="7"/>
        <v>8.5074331911071255</v>
      </c>
      <c r="G111" s="13">
        <f t="shared" si="8"/>
        <v>72.376419501151162</v>
      </c>
      <c r="H111" s="5">
        <f t="shared" si="9"/>
        <v>0.28358110637023753</v>
      </c>
    </row>
    <row r="112" spans="1:8" ht="15.75" customHeight="1">
      <c r="A112" s="4">
        <v>111</v>
      </c>
      <c r="B112" s="3">
        <v>21661</v>
      </c>
      <c r="C112" s="4">
        <v>46</v>
      </c>
      <c r="D112" s="13">
        <f t="shared" si="6"/>
        <v>40.606734069882513</v>
      </c>
      <c r="E112" s="13">
        <f t="shared" si="5"/>
        <v>7.4925668088928745</v>
      </c>
      <c r="F112" s="13">
        <f t="shared" si="7"/>
        <v>7.4925668088928745</v>
      </c>
      <c r="G112" s="13">
        <f t="shared" si="8"/>
        <v>56.138557385723153</v>
      </c>
      <c r="H112" s="5">
        <f t="shared" si="9"/>
        <v>0.16288188714984511</v>
      </c>
    </row>
    <row r="113" spans="1:8" ht="15.75" customHeight="1">
      <c r="A113" s="4">
        <v>112</v>
      </c>
      <c r="B113" s="3">
        <v>21662</v>
      </c>
      <c r="C113" s="4">
        <v>45</v>
      </c>
      <c r="D113" s="13">
        <f t="shared" si="6"/>
        <v>40.625818623325927</v>
      </c>
      <c r="E113" s="13">
        <f t="shared" si="5"/>
        <v>6.4925668088928745</v>
      </c>
      <c r="F113" s="13">
        <f t="shared" si="7"/>
        <v>6.4925668088928745</v>
      </c>
      <c r="G113" s="13">
        <f t="shared" si="8"/>
        <v>42.153423767937404</v>
      </c>
      <c r="H113" s="5">
        <f t="shared" si="9"/>
        <v>0.14427926241984165</v>
      </c>
    </row>
    <row r="114" spans="1:8" ht="15.75" customHeight="1">
      <c r="A114" s="4">
        <v>113</v>
      </c>
      <c r="B114" s="3">
        <v>21663</v>
      </c>
      <c r="C114" s="4">
        <v>54</v>
      </c>
      <c r="D114" s="13">
        <f t="shared" si="6"/>
        <v>40.64490317676934</v>
      </c>
      <c r="E114" s="13">
        <f t="shared" si="5"/>
        <v>15.492566808892875</v>
      </c>
      <c r="F114" s="13">
        <f t="shared" si="7"/>
        <v>15.492566808892875</v>
      </c>
      <c r="G114" s="13">
        <f t="shared" si="8"/>
        <v>240.01962632800914</v>
      </c>
      <c r="H114" s="5">
        <f t="shared" si="9"/>
        <v>0.28689938534986803</v>
      </c>
    </row>
    <row r="115" spans="1:8" ht="15.75" customHeight="1">
      <c r="A115" s="4">
        <v>114</v>
      </c>
      <c r="B115" s="3">
        <v>21664</v>
      </c>
      <c r="C115" s="4">
        <v>34</v>
      </c>
      <c r="D115" s="13">
        <f t="shared" si="6"/>
        <v>40.663987730212753</v>
      </c>
      <c r="E115" s="13">
        <f t="shared" si="5"/>
        <v>-4.5074331911071255</v>
      </c>
      <c r="F115" s="13">
        <f t="shared" si="7"/>
        <v>4.5074331911071255</v>
      </c>
      <c r="G115" s="13">
        <f t="shared" si="8"/>
        <v>20.316953972294165</v>
      </c>
      <c r="H115" s="5">
        <f t="shared" si="9"/>
        <v>0.13257156444432722</v>
      </c>
    </row>
    <row r="116" spans="1:8" ht="15.75" customHeight="1">
      <c r="A116" s="4">
        <v>115</v>
      </c>
      <c r="B116" s="3">
        <v>21665</v>
      </c>
      <c r="C116" s="4">
        <v>37</v>
      </c>
      <c r="D116" s="13">
        <f t="shared" si="6"/>
        <v>40.683072283656166</v>
      </c>
      <c r="E116" s="13">
        <f t="shared" si="5"/>
        <v>-1.5074331911071255</v>
      </c>
      <c r="F116" s="13">
        <f t="shared" si="7"/>
        <v>1.5074331911071255</v>
      </c>
      <c r="G116" s="13">
        <f t="shared" si="8"/>
        <v>2.2723548256514117</v>
      </c>
      <c r="H116" s="5">
        <f t="shared" si="9"/>
        <v>4.0741437597489875E-2</v>
      </c>
    </row>
    <row r="117" spans="1:8" ht="15.75" customHeight="1">
      <c r="A117" s="4">
        <v>116</v>
      </c>
      <c r="B117" s="3">
        <v>21666</v>
      </c>
      <c r="C117" s="4">
        <v>35</v>
      </c>
      <c r="D117" s="13">
        <f t="shared" si="6"/>
        <v>40.702156837099579</v>
      </c>
      <c r="E117" s="13">
        <f t="shared" si="5"/>
        <v>-3.5074331911071255</v>
      </c>
      <c r="F117" s="13">
        <f t="shared" si="7"/>
        <v>3.5074331911071255</v>
      </c>
      <c r="G117" s="13">
        <f t="shared" si="8"/>
        <v>12.302087590079914</v>
      </c>
      <c r="H117" s="5">
        <f t="shared" si="9"/>
        <v>0.10021237688877502</v>
      </c>
    </row>
    <row r="118" spans="1:8" ht="15.75" customHeight="1">
      <c r="A118" s="4">
        <v>117</v>
      </c>
      <c r="B118" s="3">
        <v>21667</v>
      </c>
      <c r="C118" s="4">
        <v>40</v>
      </c>
      <c r="D118" s="13">
        <f t="shared" si="6"/>
        <v>40.721241390542993</v>
      </c>
      <c r="E118" s="13">
        <f t="shared" si="5"/>
        <v>1.4925668088928745</v>
      </c>
      <c r="F118" s="13">
        <f t="shared" si="7"/>
        <v>1.4925668088928745</v>
      </c>
      <c r="G118" s="13">
        <f t="shared" si="8"/>
        <v>2.2277556790086588</v>
      </c>
      <c r="H118" s="5">
        <f t="shared" si="9"/>
        <v>3.7314170222321863E-2</v>
      </c>
    </row>
    <row r="119" spans="1:8" ht="15.75" customHeight="1">
      <c r="A119" s="4">
        <v>118</v>
      </c>
      <c r="B119" s="3">
        <v>21668</v>
      </c>
      <c r="C119" s="4">
        <v>42</v>
      </c>
      <c r="D119" s="13">
        <f t="shared" si="6"/>
        <v>40.740325943986406</v>
      </c>
      <c r="E119" s="13">
        <f t="shared" si="5"/>
        <v>3.4925668088928745</v>
      </c>
      <c r="F119" s="13">
        <f t="shared" si="7"/>
        <v>3.4925668088928745</v>
      </c>
      <c r="G119" s="13">
        <f t="shared" si="8"/>
        <v>12.198022914580157</v>
      </c>
      <c r="H119" s="5">
        <f t="shared" si="9"/>
        <v>8.3156352592687485E-2</v>
      </c>
    </row>
    <row r="120" spans="1:8" ht="15.75" customHeight="1">
      <c r="A120" s="4">
        <v>119</v>
      </c>
      <c r="B120" s="3">
        <v>21669</v>
      </c>
      <c r="C120" s="4">
        <v>58</v>
      </c>
      <c r="D120" s="13">
        <f t="shared" si="6"/>
        <v>40.759410497429812</v>
      </c>
      <c r="E120" s="13">
        <f t="shared" si="5"/>
        <v>19.492566808892875</v>
      </c>
      <c r="F120" s="13">
        <f t="shared" si="7"/>
        <v>19.492566808892875</v>
      </c>
      <c r="G120" s="13">
        <f t="shared" si="8"/>
        <v>379.96016079915216</v>
      </c>
      <c r="H120" s="5">
        <f t="shared" si="9"/>
        <v>0.3360787380843599</v>
      </c>
    </row>
    <row r="121" spans="1:8" ht="15.75" customHeight="1">
      <c r="A121" s="4">
        <v>120</v>
      </c>
      <c r="B121" s="3">
        <v>21670</v>
      </c>
      <c r="C121" s="4">
        <v>51</v>
      </c>
      <c r="D121" s="13">
        <f t="shared" si="6"/>
        <v>40.778495050873225</v>
      </c>
      <c r="E121" s="13">
        <f t="shared" si="5"/>
        <v>12.492566808892875</v>
      </c>
      <c r="F121" s="13">
        <f t="shared" si="7"/>
        <v>12.492566808892875</v>
      </c>
      <c r="G121" s="13">
        <f t="shared" si="8"/>
        <v>156.06422547465189</v>
      </c>
      <c r="H121" s="5">
        <f t="shared" si="9"/>
        <v>0.24495229037044852</v>
      </c>
    </row>
    <row r="122" spans="1:8" ht="15.75" customHeight="1">
      <c r="A122" s="4">
        <v>121</v>
      </c>
      <c r="B122" s="3">
        <v>21671</v>
      </c>
      <c r="C122" s="4">
        <v>32</v>
      </c>
      <c r="D122" s="13">
        <f t="shared" si="6"/>
        <v>40.797579604316638</v>
      </c>
      <c r="E122" s="13">
        <f t="shared" si="5"/>
        <v>-6.5074331911071255</v>
      </c>
      <c r="F122" s="13">
        <f t="shared" si="7"/>
        <v>6.5074331911071255</v>
      </c>
      <c r="G122" s="13">
        <f t="shared" si="8"/>
        <v>42.346686736722667</v>
      </c>
      <c r="H122" s="5">
        <f t="shared" si="9"/>
        <v>0.20335728722209767</v>
      </c>
    </row>
    <row r="123" spans="1:8" ht="15.75" customHeight="1">
      <c r="A123" s="4">
        <v>122</v>
      </c>
      <c r="B123" s="3">
        <v>21672</v>
      </c>
      <c r="C123" s="4">
        <v>35</v>
      </c>
      <c r="D123" s="13">
        <f t="shared" si="6"/>
        <v>40.816664157760052</v>
      </c>
      <c r="E123" s="13">
        <f t="shared" si="5"/>
        <v>-3.5074331911071255</v>
      </c>
      <c r="F123" s="13">
        <f t="shared" si="7"/>
        <v>3.5074331911071255</v>
      </c>
      <c r="G123" s="13">
        <f t="shared" si="8"/>
        <v>12.302087590079914</v>
      </c>
      <c r="H123" s="5">
        <f t="shared" si="9"/>
        <v>0.10021237688877502</v>
      </c>
    </row>
    <row r="124" spans="1:8" ht="15.75" customHeight="1">
      <c r="A124" s="4">
        <v>123</v>
      </c>
      <c r="B124" s="3">
        <v>21673</v>
      </c>
      <c r="C124" s="4">
        <v>38</v>
      </c>
      <c r="D124" s="13">
        <f t="shared" si="6"/>
        <v>40.835748711203465</v>
      </c>
      <c r="E124" s="13">
        <f t="shared" si="5"/>
        <v>-0.50743319110712548</v>
      </c>
      <c r="F124" s="13">
        <f t="shared" si="7"/>
        <v>0.50743319110712548</v>
      </c>
      <c r="G124" s="13">
        <f t="shared" si="8"/>
        <v>0.25748844343716054</v>
      </c>
      <c r="H124" s="5">
        <f t="shared" si="9"/>
        <v>1.3353505029134882E-2</v>
      </c>
    </row>
    <row r="125" spans="1:8" ht="15.75" customHeight="1">
      <c r="A125" s="4">
        <v>124</v>
      </c>
      <c r="B125" s="3">
        <v>21674</v>
      </c>
      <c r="C125" s="4">
        <v>33</v>
      </c>
      <c r="D125" s="13">
        <f t="shared" si="6"/>
        <v>40.854833264646878</v>
      </c>
      <c r="E125" s="13">
        <f t="shared" si="5"/>
        <v>-5.5074331911071255</v>
      </c>
      <c r="F125" s="13">
        <f t="shared" si="7"/>
        <v>5.5074331911071255</v>
      </c>
      <c r="G125" s="13">
        <f t="shared" si="8"/>
        <v>30.331820354508416</v>
      </c>
      <c r="H125" s="5">
        <f t="shared" si="9"/>
        <v>0.16689191488203411</v>
      </c>
    </row>
    <row r="126" spans="1:8" ht="15.75" customHeight="1">
      <c r="A126" s="4">
        <v>125</v>
      </c>
      <c r="B126" s="3">
        <v>21675</v>
      </c>
      <c r="C126" s="4">
        <v>39</v>
      </c>
      <c r="D126" s="13">
        <f t="shared" si="6"/>
        <v>40.873917818090291</v>
      </c>
      <c r="E126" s="13">
        <f t="shared" si="5"/>
        <v>0.49256680889287452</v>
      </c>
      <c r="F126" s="13">
        <f t="shared" si="7"/>
        <v>0.49256680889287452</v>
      </c>
      <c r="G126" s="13">
        <f t="shared" si="8"/>
        <v>0.24262206122290958</v>
      </c>
      <c r="H126" s="5">
        <f t="shared" si="9"/>
        <v>1.2629918176740373E-2</v>
      </c>
    </row>
    <row r="127" spans="1:8" ht="15.75" customHeight="1">
      <c r="A127" s="4">
        <v>126</v>
      </c>
      <c r="B127" s="3">
        <v>21676</v>
      </c>
      <c r="C127" s="4">
        <v>47</v>
      </c>
      <c r="D127" s="13">
        <f t="shared" si="6"/>
        <v>40.893002371533704</v>
      </c>
      <c r="E127" s="13">
        <f t="shared" si="5"/>
        <v>8.4925668088928745</v>
      </c>
      <c r="F127" s="13">
        <f t="shared" si="7"/>
        <v>8.4925668088928745</v>
      </c>
      <c r="G127" s="13">
        <f t="shared" si="8"/>
        <v>72.123691003508895</v>
      </c>
      <c r="H127" s="5">
        <f t="shared" si="9"/>
        <v>0.18069291082750796</v>
      </c>
    </row>
    <row r="128" spans="1:8" ht="15.75" customHeight="1">
      <c r="A128" s="4">
        <v>127</v>
      </c>
      <c r="B128" s="3">
        <v>21677</v>
      </c>
      <c r="C128" s="4">
        <v>38</v>
      </c>
      <c r="D128" s="13">
        <f t="shared" si="6"/>
        <v>40.912086924977118</v>
      </c>
      <c r="E128" s="13">
        <f t="shared" si="5"/>
        <v>-0.50743319110712548</v>
      </c>
      <c r="F128" s="13">
        <f t="shared" si="7"/>
        <v>0.50743319110712548</v>
      </c>
      <c r="G128" s="13">
        <f t="shared" si="8"/>
        <v>0.25748844343716054</v>
      </c>
      <c r="H128" s="5">
        <f t="shared" si="9"/>
        <v>1.3353505029134882E-2</v>
      </c>
    </row>
    <row r="129" spans="1:8" ht="15.75" customHeight="1">
      <c r="A129" s="4">
        <v>128</v>
      </c>
      <c r="B129" s="3">
        <v>21678</v>
      </c>
      <c r="C129" s="4">
        <v>52</v>
      </c>
      <c r="D129" s="13">
        <f t="shared" si="6"/>
        <v>40.931171478420531</v>
      </c>
      <c r="E129" s="13">
        <f t="shared" si="5"/>
        <v>13.492566808892875</v>
      </c>
      <c r="F129" s="13">
        <f t="shared" si="7"/>
        <v>13.492566808892875</v>
      </c>
      <c r="G129" s="13">
        <f t="shared" si="8"/>
        <v>182.04935909243764</v>
      </c>
      <c r="H129" s="5">
        <f t="shared" si="9"/>
        <v>0.25947243863255526</v>
      </c>
    </row>
    <row r="130" spans="1:8" ht="15.75" customHeight="1">
      <c r="A130" s="4">
        <v>129</v>
      </c>
      <c r="B130" s="3">
        <v>21679</v>
      </c>
      <c r="C130" s="4">
        <v>30</v>
      </c>
      <c r="D130" s="13">
        <f t="shared" si="6"/>
        <v>40.950256031863944</v>
      </c>
      <c r="E130" s="13">
        <f t="shared" ref="E130:E193" si="10">C130-solver_opt</f>
        <v>-8.5074331911071255</v>
      </c>
      <c r="F130" s="13">
        <f t="shared" si="7"/>
        <v>8.5074331911071255</v>
      </c>
      <c r="G130" s="13">
        <f t="shared" si="8"/>
        <v>72.376419501151162</v>
      </c>
      <c r="H130" s="5">
        <f t="shared" si="9"/>
        <v>0.28358110637023753</v>
      </c>
    </row>
    <row r="131" spans="1:8" ht="15.75" customHeight="1">
      <c r="A131" s="4">
        <v>130</v>
      </c>
      <c r="B131" s="3">
        <v>21680</v>
      </c>
      <c r="C131" s="4">
        <v>34</v>
      </c>
      <c r="D131" s="13">
        <f t="shared" ref="D131:D194" si="11">_xlfn.FORECAST.LINEAR(A131,$C$2:$C$366,$A$2:$A$366)</f>
        <v>40.96934058530735</v>
      </c>
      <c r="E131" s="13">
        <f t="shared" si="10"/>
        <v>-4.5074331911071255</v>
      </c>
      <c r="F131" s="13">
        <f t="shared" ref="F131:F194" si="12">ABS(E131)</f>
        <v>4.5074331911071255</v>
      </c>
      <c r="G131" s="13">
        <f t="shared" ref="G131:G194" si="13">F131^2</f>
        <v>20.316953972294165</v>
      </c>
      <c r="H131" s="5">
        <f t="shared" ref="H131:H194" si="14">F131/C131</f>
        <v>0.13257156444432722</v>
      </c>
    </row>
    <row r="132" spans="1:8" ht="15.75" customHeight="1">
      <c r="A132" s="4">
        <v>131</v>
      </c>
      <c r="B132" s="3">
        <v>21681</v>
      </c>
      <c r="C132" s="4">
        <v>40</v>
      </c>
      <c r="D132" s="13">
        <f t="shared" si="11"/>
        <v>40.988425138750763</v>
      </c>
      <c r="E132" s="13">
        <f t="shared" si="10"/>
        <v>1.4925668088928745</v>
      </c>
      <c r="F132" s="13">
        <f t="shared" si="12"/>
        <v>1.4925668088928745</v>
      </c>
      <c r="G132" s="13">
        <f t="shared" si="13"/>
        <v>2.2277556790086588</v>
      </c>
      <c r="H132" s="5">
        <f t="shared" si="14"/>
        <v>3.7314170222321863E-2</v>
      </c>
    </row>
    <row r="133" spans="1:8" ht="15.75" customHeight="1">
      <c r="A133" s="4">
        <v>132</v>
      </c>
      <c r="B133" s="3">
        <v>21682</v>
      </c>
      <c r="C133" s="4">
        <v>35</v>
      </c>
      <c r="D133" s="13">
        <f t="shared" si="11"/>
        <v>41.007509692194176</v>
      </c>
      <c r="E133" s="13">
        <f t="shared" si="10"/>
        <v>-3.5074331911071255</v>
      </c>
      <c r="F133" s="13">
        <f t="shared" si="12"/>
        <v>3.5074331911071255</v>
      </c>
      <c r="G133" s="13">
        <f t="shared" si="13"/>
        <v>12.302087590079914</v>
      </c>
      <c r="H133" s="5">
        <f t="shared" si="14"/>
        <v>0.10021237688877502</v>
      </c>
    </row>
    <row r="134" spans="1:8" ht="15.75" customHeight="1">
      <c r="A134" s="4">
        <v>133</v>
      </c>
      <c r="B134" s="3">
        <v>21683</v>
      </c>
      <c r="C134" s="4">
        <v>42</v>
      </c>
      <c r="D134" s="13">
        <f t="shared" si="11"/>
        <v>41.02659424563759</v>
      </c>
      <c r="E134" s="13">
        <f t="shared" si="10"/>
        <v>3.4925668088928745</v>
      </c>
      <c r="F134" s="13">
        <f t="shared" si="12"/>
        <v>3.4925668088928745</v>
      </c>
      <c r="G134" s="13">
        <f t="shared" si="13"/>
        <v>12.198022914580157</v>
      </c>
      <c r="H134" s="5">
        <f t="shared" si="14"/>
        <v>8.3156352592687485E-2</v>
      </c>
    </row>
    <row r="135" spans="1:8" ht="15.75" customHeight="1">
      <c r="A135" s="4">
        <v>134</v>
      </c>
      <c r="B135" s="3">
        <v>21684</v>
      </c>
      <c r="C135" s="4">
        <v>41</v>
      </c>
      <c r="D135" s="13">
        <f t="shared" si="11"/>
        <v>41.045678799081003</v>
      </c>
      <c r="E135" s="13">
        <f t="shared" si="10"/>
        <v>2.4925668088928745</v>
      </c>
      <c r="F135" s="13">
        <f t="shared" si="12"/>
        <v>2.4925668088928745</v>
      </c>
      <c r="G135" s="13">
        <f t="shared" si="13"/>
        <v>6.2128892967944074</v>
      </c>
      <c r="H135" s="5">
        <f t="shared" si="14"/>
        <v>6.079431241202133E-2</v>
      </c>
    </row>
    <row r="136" spans="1:8" ht="15.75" customHeight="1">
      <c r="A136" s="4">
        <v>135</v>
      </c>
      <c r="B136" s="3">
        <v>21685</v>
      </c>
      <c r="C136" s="4">
        <v>42</v>
      </c>
      <c r="D136" s="13">
        <f t="shared" si="11"/>
        <v>41.064763352524416</v>
      </c>
      <c r="E136" s="13">
        <f t="shared" si="10"/>
        <v>3.4925668088928745</v>
      </c>
      <c r="F136" s="13">
        <f t="shared" si="12"/>
        <v>3.4925668088928745</v>
      </c>
      <c r="G136" s="13">
        <f t="shared" si="13"/>
        <v>12.198022914580157</v>
      </c>
      <c r="H136" s="5">
        <f t="shared" si="14"/>
        <v>8.3156352592687485E-2</v>
      </c>
    </row>
    <row r="137" spans="1:8" ht="15.75" customHeight="1">
      <c r="A137" s="4">
        <v>136</v>
      </c>
      <c r="B137" s="3">
        <v>21686</v>
      </c>
      <c r="C137" s="4">
        <v>38</v>
      </c>
      <c r="D137" s="13">
        <f t="shared" si="11"/>
        <v>41.083847905967829</v>
      </c>
      <c r="E137" s="13">
        <f t="shared" si="10"/>
        <v>-0.50743319110712548</v>
      </c>
      <c r="F137" s="13">
        <f t="shared" si="12"/>
        <v>0.50743319110712548</v>
      </c>
      <c r="G137" s="13">
        <f t="shared" si="13"/>
        <v>0.25748844343716054</v>
      </c>
      <c r="H137" s="5">
        <f t="shared" si="14"/>
        <v>1.3353505029134882E-2</v>
      </c>
    </row>
    <row r="138" spans="1:8" ht="15.75" customHeight="1">
      <c r="A138" s="4">
        <v>137</v>
      </c>
      <c r="B138" s="3">
        <v>21687</v>
      </c>
      <c r="C138" s="4">
        <v>24</v>
      </c>
      <c r="D138" s="13">
        <f t="shared" si="11"/>
        <v>41.102932459411242</v>
      </c>
      <c r="E138" s="13">
        <f t="shared" si="10"/>
        <v>-14.507433191107125</v>
      </c>
      <c r="F138" s="13">
        <f t="shared" si="12"/>
        <v>14.507433191107125</v>
      </c>
      <c r="G138" s="13">
        <f t="shared" si="13"/>
        <v>210.46561779443667</v>
      </c>
      <c r="H138" s="5">
        <f t="shared" si="14"/>
        <v>0.60447638296279693</v>
      </c>
    </row>
    <row r="139" spans="1:8" ht="15.75" customHeight="1">
      <c r="A139" s="4">
        <v>138</v>
      </c>
      <c r="B139" s="3">
        <v>21688</v>
      </c>
      <c r="C139" s="4">
        <v>34</v>
      </c>
      <c r="D139" s="13">
        <f t="shared" si="11"/>
        <v>41.122017012854656</v>
      </c>
      <c r="E139" s="13">
        <f t="shared" si="10"/>
        <v>-4.5074331911071255</v>
      </c>
      <c r="F139" s="13">
        <f t="shared" si="12"/>
        <v>4.5074331911071255</v>
      </c>
      <c r="G139" s="13">
        <f t="shared" si="13"/>
        <v>20.316953972294165</v>
      </c>
      <c r="H139" s="5">
        <f t="shared" si="14"/>
        <v>0.13257156444432722</v>
      </c>
    </row>
    <row r="140" spans="1:8" ht="15.75" customHeight="1">
      <c r="A140" s="4">
        <v>139</v>
      </c>
      <c r="B140" s="3">
        <v>21689</v>
      </c>
      <c r="C140" s="4">
        <v>43</v>
      </c>
      <c r="D140" s="13">
        <f t="shared" si="11"/>
        <v>41.141101566298069</v>
      </c>
      <c r="E140" s="13">
        <f t="shared" si="10"/>
        <v>4.4925668088928745</v>
      </c>
      <c r="F140" s="13">
        <f t="shared" si="12"/>
        <v>4.4925668088928745</v>
      </c>
      <c r="G140" s="13">
        <f t="shared" si="13"/>
        <v>20.183156532365906</v>
      </c>
      <c r="H140" s="5">
        <f t="shared" si="14"/>
        <v>0.10447829788122964</v>
      </c>
    </row>
    <row r="141" spans="1:8" ht="15.75" customHeight="1">
      <c r="A141" s="4">
        <v>140</v>
      </c>
      <c r="B141" s="3">
        <v>21690</v>
      </c>
      <c r="C141" s="4">
        <v>36</v>
      </c>
      <c r="D141" s="13">
        <f t="shared" si="11"/>
        <v>41.160186119741482</v>
      </c>
      <c r="E141" s="13">
        <f t="shared" si="10"/>
        <v>-2.5074331911071255</v>
      </c>
      <c r="F141" s="13">
        <f t="shared" si="12"/>
        <v>2.5074331911071255</v>
      </c>
      <c r="G141" s="13">
        <f t="shared" si="13"/>
        <v>6.2872212078656622</v>
      </c>
      <c r="H141" s="5">
        <f t="shared" si="14"/>
        <v>6.9650921975197927E-2</v>
      </c>
    </row>
    <row r="142" spans="1:8" ht="15.75" customHeight="1">
      <c r="A142" s="4">
        <v>141</v>
      </c>
      <c r="B142" s="3">
        <v>21691</v>
      </c>
      <c r="C142" s="4">
        <v>55</v>
      </c>
      <c r="D142" s="13">
        <f t="shared" si="11"/>
        <v>41.179270673184895</v>
      </c>
      <c r="E142" s="13">
        <f t="shared" si="10"/>
        <v>16.492566808892875</v>
      </c>
      <c r="F142" s="13">
        <f t="shared" si="12"/>
        <v>16.492566808892875</v>
      </c>
      <c r="G142" s="13">
        <f t="shared" si="13"/>
        <v>272.00475994579489</v>
      </c>
      <c r="H142" s="5">
        <f t="shared" si="14"/>
        <v>0.29986485107077954</v>
      </c>
    </row>
    <row r="143" spans="1:8" ht="15.75" customHeight="1">
      <c r="A143" s="4">
        <v>142</v>
      </c>
      <c r="B143" s="3">
        <v>21692</v>
      </c>
      <c r="C143" s="4">
        <v>41</v>
      </c>
      <c r="D143" s="13">
        <f t="shared" si="11"/>
        <v>41.198355226628308</v>
      </c>
      <c r="E143" s="13">
        <f t="shared" si="10"/>
        <v>2.4925668088928745</v>
      </c>
      <c r="F143" s="13">
        <f t="shared" si="12"/>
        <v>2.4925668088928745</v>
      </c>
      <c r="G143" s="13">
        <f t="shared" si="13"/>
        <v>6.2128892967944074</v>
      </c>
      <c r="H143" s="5">
        <f t="shared" si="14"/>
        <v>6.079431241202133E-2</v>
      </c>
    </row>
    <row r="144" spans="1:8" ht="15.75" customHeight="1">
      <c r="A144" s="4">
        <v>143</v>
      </c>
      <c r="B144" s="3">
        <v>21693</v>
      </c>
      <c r="C144" s="4">
        <v>45</v>
      </c>
      <c r="D144" s="13">
        <f t="shared" si="11"/>
        <v>41.217439780071714</v>
      </c>
      <c r="E144" s="13">
        <f t="shared" si="10"/>
        <v>6.4925668088928745</v>
      </c>
      <c r="F144" s="13">
        <f t="shared" si="12"/>
        <v>6.4925668088928745</v>
      </c>
      <c r="G144" s="13">
        <f t="shared" si="13"/>
        <v>42.153423767937404</v>
      </c>
      <c r="H144" s="5">
        <f t="shared" si="14"/>
        <v>0.14427926241984165</v>
      </c>
    </row>
    <row r="145" spans="1:8" ht="15.75" customHeight="1">
      <c r="A145" s="4">
        <v>144</v>
      </c>
      <c r="B145" s="3">
        <v>21694</v>
      </c>
      <c r="C145" s="4">
        <v>41</v>
      </c>
      <c r="D145" s="13">
        <f t="shared" si="11"/>
        <v>41.236524333515128</v>
      </c>
      <c r="E145" s="13">
        <f t="shared" si="10"/>
        <v>2.4925668088928745</v>
      </c>
      <c r="F145" s="13">
        <f t="shared" si="12"/>
        <v>2.4925668088928745</v>
      </c>
      <c r="G145" s="13">
        <f t="shared" si="13"/>
        <v>6.2128892967944074</v>
      </c>
      <c r="H145" s="5">
        <f t="shared" si="14"/>
        <v>6.079431241202133E-2</v>
      </c>
    </row>
    <row r="146" spans="1:8" ht="15.75" customHeight="1">
      <c r="A146" s="4">
        <v>145</v>
      </c>
      <c r="B146" s="3">
        <v>21695</v>
      </c>
      <c r="C146" s="4">
        <v>37</v>
      </c>
      <c r="D146" s="13">
        <f t="shared" si="11"/>
        <v>41.255608886958541</v>
      </c>
      <c r="E146" s="13">
        <f t="shared" si="10"/>
        <v>-1.5074331911071255</v>
      </c>
      <c r="F146" s="13">
        <f t="shared" si="12"/>
        <v>1.5074331911071255</v>
      </c>
      <c r="G146" s="13">
        <f t="shared" si="13"/>
        <v>2.2723548256514117</v>
      </c>
      <c r="H146" s="5">
        <f t="shared" si="14"/>
        <v>4.0741437597489875E-2</v>
      </c>
    </row>
    <row r="147" spans="1:8" ht="15.75" customHeight="1">
      <c r="A147" s="4">
        <v>146</v>
      </c>
      <c r="B147" s="3">
        <v>21696</v>
      </c>
      <c r="C147" s="4">
        <v>43</v>
      </c>
      <c r="D147" s="13">
        <f t="shared" si="11"/>
        <v>41.274693440401954</v>
      </c>
      <c r="E147" s="13">
        <f t="shared" si="10"/>
        <v>4.4925668088928745</v>
      </c>
      <c r="F147" s="13">
        <f t="shared" si="12"/>
        <v>4.4925668088928745</v>
      </c>
      <c r="G147" s="13">
        <f t="shared" si="13"/>
        <v>20.183156532365906</v>
      </c>
      <c r="H147" s="5">
        <f t="shared" si="14"/>
        <v>0.10447829788122964</v>
      </c>
    </row>
    <row r="148" spans="1:8" ht="15.75" customHeight="1">
      <c r="A148" s="4">
        <v>147</v>
      </c>
      <c r="B148" s="3">
        <v>21697</v>
      </c>
      <c r="C148" s="4">
        <v>39</v>
      </c>
      <c r="D148" s="13">
        <f t="shared" si="11"/>
        <v>41.293777993845367</v>
      </c>
      <c r="E148" s="13">
        <f t="shared" si="10"/>
        <v>0.49256680889287452</v>
      </c>
      <c r="F148" s="13">
        <f t="shared" si="12"/>
        <v>0.49256680889287452</v>
      </c>
      <c r="G148" s="13">
        <f t="shared" si="13"/>
        <v>0.24262206122290958</v>
      </c>
      <c r="H148" s="5">
        <f t="shared" si="14"/>
        <v>1.2629918176740373E-2</v>
      </c>
    </row>
    <row r="149" spans="1:8" ht="15.75" customHeight="1">
      <c r="A149" s="4">
        <v>148</v>
      </c>
      <c r="B149" s="3">
        <v>21698</v>
      </c>
      <c r="C149" s="4">
        <v>33</v>
      </c>
      <c r="D149" s="13">
        <f t="shared" si="11"/>
        <v>41.31286254728878</v>
      </c>
      <c r="E149" s="13">
        <f t="shared" si="10"/>
        <v>-5.5074331911071255</v>
      </c>
      <c r="F149" s="13">
        <f t="shared" si="12"/>
        <v>5.5074331911071255</v>
      </c>
      <c r="G149" s="13">
        <f t="shared" si="13"/>
        <v>30.331820354508416</v>
      </c>
      <c r="H149" s="5">
        <f t="shared" si="14"/>
        <v>0.16689191488203411</v>
      </c>
    </row>
    <row r="150" spans="1:8" ht="15.75" customHeight="1">
      <c r="A150" s="4">
        <v>149</v>
      </c>
      <c r="B150" s="3">
        <v>21699</v>
      </c>
      <c r="C150" s="4">
        <v>43</v>
      </c>
      <c r="D150" s="13">
        <f t="shared" si="11"/>
        <v>41.331947100732194</v>
      </c>
      <c r="E150" s="13">
        <f t="shared" si="10"/>
        <v>4.4925668088928745</v>
      </c>
      <c r="F150" s="13">
        <f t="shared" si="12"/>
        <v>4.4925668088928745</v>
      </c>
      <c r="G150" s="13">
        <f t="shared" si="13"/>
        <v>20.183156532365906</v>
      </c>
      <c r="H150" s="5">
        <f t="shared" si="14"/>
        <v>0.10447829788122964</v>
      </c>
    </row>
    <row r="151" spans="1:8" ht="15.75" customHeight="1">
      <c r="A151" s="4">
        <v>150</v>
      </c>
      <c r="B151" s="3">
        <v>21700</v>
      </c>
      <c r="C151" s="4">
        <v>40</v>
      </c>
      <c r="D151" s="13">
        <f t="shared" si="11"/>
        <v>41.351031654175607</v>
      </c>
      <c r="E151" s="13">
        <f t="shared" si="10"/>
        <v>1.4925668088928745</v>
      </c>
      <c r="F151" s="13">
        <f t="shared" si="12"/>
        <v>1.4925668088928745</v>
      </c>
      <c r="G151" s="13">
        <f t="shared" si="13"/>
        <v>2.2277556790086588</v>
      </c>
      <c r="H151" s="5">
        <f t="shared" si="14"/>
        <v>3.7314170222321863E-2</v>
      </c>
    </row>
    <row r="152" spans="1:8" ht="15.75" customHeight="1">
      <c r="A152" s="4">
        <v>151</v>
      </c>
      <c r="B152" s="3">
        <v>21701</v>
      </c>
      <c r="C152" s="4">
        <v>38</v>
      </c>
      <c r="D152" s="13">
        <f t="shared" si="11"/>
        <v>41.37011620761902</v>
      </c>
      <c r="E152" s="13">
        <f t="shared" si="10"/>
        <v>-0.50743319110712548</v>
      </c>
      <c r="F152" s="13">
        <f t="shared" si="12"/>
        <v>0.50743319110712548</v>
      </c>
      <c r="G152" s="13">
        <f t="shared" si="13"/>
        <v>0.25748844343716054</v>
      </c>
      <c r="H152" s="5">
        <f t="shared" si="14"/>
        <v>1.3353505029134882E-2</v>
      </c>
    </row>
    <row r="153" spans="1:8" ht="15.75" customHeight="1">
      <c r="A153" s="4">
        <v>152</v>
      </c>
      <c r="B153" s="3">
        <v>21702</v>
      </c>
      <c r="C153" s="4">
        <v>45</v>
      </c>
      <c r="D153" s="13">
        <f t="shared" si="11"/>
        <v>41.389200761062433</v>
      </c>
      <c r="E153" s="13">
        <f t="shared" si="10"/>
        <v>6.4925668088928745</v>
      </c>
      <c r="F153" s="13">
        <f t="shared" si="12"/>
        <v>6.4925668088928745</v>
      </c>
      <c r="G153" s="13">
        <f t="shared" si="13"/>
        <v>42.153423767937404</v>
      </c>
      <c r="H153" s="5">
        <f t="shared" si="14"/>
        <v>0.14427926241984165</v>
      </c>
    </row>
    <row r="154" spans="1:8" ht="15.75" customHeight="1">
      <c r="A154" s="4">
        <v>153</v>
      </c>
      <c r="B154" s="3">
        <v>21703</v>
      </c>
      <c r="C154" s="4">
        <v>46</v>
      </c>
      <c r="D154" s="13">
        <f t="shared" si="11"/>
        <v>41.408285314505846</v>
      </c>
      <c r="E154" s="13">
        <f t="shared" si="10"/>
        <v>7.4925668088928745</v>
      </c>
      <c r="F154" s="13">
        <f t="shared" si="12"/>
        <v>7.4925668088928745</v>
      </c>
      <c r="G154" s="13">
        <f t="shared" si="13"/>
        <v>56.138557385723153</v>
      </c>
      <c r="H154" s="5">
        <f t="shared" si="14"/>
        <v>0.16288188714984511</v>
      </c>
    </row>
    <row r="155" spans="1:8" ht="15.75" customHeight="1">
      <c r="A155" s="4">
        <v>154</v>
      </c>
      <c r="B155" s="3">
        <v>21704</v>
      </c>
      <c r="C155" s="4">
        <v>34</v>
      </c>
      <c r="D155" s="13">
        <f t="shared" si="11"/>
        <v>41.42736986794926</v>
      </c>
      <c r="E155" s="13">
        <f t="shared" si="10"/>
        <v>-4.5074331911071255</v>
      </c>
      <c r="F155" s="13">
        <f t="shared" si="12"/>
        <v>4.5074331911071255</v>
      </c>
      <c r="G155" s="13">
        <f t="shared" si="13"/>
        <v>20.316953972294165</v>
      </c>
      <c r="H155" s="5">
        <f t="shared" si="14"/>
        <v>0.13257156444432722</v>
      </c>
    </row>
    <row r="156" spans="1:8" ht="15.75" customHeight="1">
      <c r="A156" s="4">
        <v>155</v>
      </c>
      <c r="B156" s="3">
        <v>21705</v>
      </c>
      <c r="C156" s="4">
        <v>35</v>
      </c>
      <c r="D156" s="13">
        <f t="shared" si="11"/>
        <v>41.446454421392673</v>
      </c>
      <c r="E156" s="13">
        <f t="shared" si="10"/>
        <v>-3.5074331911071255</v>
      </c>
      <c r="F156" s="13">
        <f t="shared" si="12"/>
        <v>3.5074331911071255</v>
      </c>
      <c r="G156" s="13">
        <f t="shared" si="13"/>
        <v>12.302087590079914</v>
      </c>
      <c r="H156" s="5">
        <f t="shared" si="14"/>
        <v>0.10021237688877502</v>
      </c>
    </row>
    <row r="157" spans="1:8" ht="15.75" customHeight="1">
      <c r="A157" s="4">
        <v>156</v>
      </c>
      <c r="B157" s="3">
        <v>21706</v>
      </c>
      <c r="C157" s="4">
        <v>48</v>
      </c>
      <c r="D157" s="13">
        <f t="shared" si="11"/>
        <v>41.465538974836079</v>
      </c>
      <c r="E157" s="13">
        <f t="shared" si="10"/>
        <v>9.4925668088928745</v>
      </c>
      <c r="F157" s="13">
        <f t="shared" si="12"/>
        <v>9.4925668088928745</v>
      </c>
      <c r="G157" s="13">
        <f t="shared" si="13"/>
        <v>90.108824621294644</v>
      </c>
      <c r="H157" s="5">
        <f t="shared" si="14"/>
        <v>0.19776180851860156</v>
      </c>
    </row>
    <row r="158" spans="1:8" ht="15.75" customHeight="1">
      <c r="A158" s="4">
        <v>157</v>
      </c>
      <c r="B158" s="3">
        <v>21707</v>
      </c>
      <c r="C158" s="4">
        <v>51</v>
      </c>
      <c r="D158" s="13">
        <f t="shared" si="11"/>
        <v>41.484623528279492</v>
      </c>
      <c r="E158" s="13">
        <f t="shared" si="10"/>
        <v>12.492566808892875</v>
      </c>
      <c r="F158" s="13">
        <f t="shared" si="12"/>
        <v>12.492566808892875</v>
      </c>
      <c r="G158" s="13">
        <f t="shared" si="13"/>
        <v>156.06422547465189</v>
      </c>
      <c r="H158" s="5">
        <f t="shared" si="14"/>
        <v>0.24495229037044852</v>
      </c>
    </row>
    <row r="159" spans="1:8" ht="15.75" customHeight="1">
      <c r="A159" s="4">
        <v>158</v>
      </c>
      <c r="B159" s="3">
        <v>21708</v>
      </c>
      <c r="C159" s="4">
        <v>36</v>
      </c>
      <c r="D159" s="13">
        <f t="shared" si="11"/>
        <v>41.503708081722905</v>
      </c>
      <c r="E159" s="13">
        <f t="shared" si="10"/>
        <v>-2.5074331911071255</v>
      </c>
      <c r="F159" s="13">
        <f t="shared" si="12"/>
        <v>2.5074331911071255</v>
      </c>
      <c r="G159" s="13">
        <f t="shared" si="13"/>
        <v>6.2872212078656622</v>
      </c>
      <c r="H159" s="5">
        <f t="shared" si="14"/>
        <v>6.9650921975197927E-2</v>
      </c>
    </row>
    <row r="160" spans="1:8" ht="15.75" customHeight="1">
      <c r="A160" s="4">
        <v>159</v>
      </c>
      <c r="B160" s="3">
        <v>21709</v>
      </c>
      <c r="C160" s="4">
        <v>33</v>
      </c>
      <c r="D160" s="13">
        <f t="shared" si="11"/>
        <v>41.522792635166319</v>
      </c>
      <c r="E160" s="13">
        <f t="shared" si="10"/>
        <v>-5.5074331911071255</v>
      </c>
      <c r="F160" s="13">
        <f t="shared" si="12"/>
        <v>5.5074331911071255</v>
      </c>
      <c r="G160" s="13">
        <f t="shared" si="13"/>
        <v>30.331820354508416</v>
      </c>
      <c r="H160" s="5">
        <f t="shared" si="14"/>
        <v>0.16689191488203411</v>
      </c>
    </row>
    <row r="161" spans="1:8" ht="15.75" customHeight="1">
      <c r="A161" s="4">
        <v>160</v>
      </c>
      <c r="B161" s="3">
        <v>21710</v>
      </c>
      <c r="C161" s="4">
        <v>46</v>
      </c>
      <c r="D161" s="13">
        <f t="shared" si="11"/>
        <v>41.541877188609732</v>
      </c>
      <c r="E161" s="13">
        <f t="shared" si="10"/>
        <v>7.4925668088928745</v>
      </c>
      <c r="F161" s="13">
        <f t="shared" si="12"/>
        <v>7.4925668088928745</v>
      </c>
      <c r="G161" s="13">
        <f t="shared" si="13"/>
        <v>56.138557385723153</v>
      </c>
      <c r="H161" s="5">
        <f t="shared" si="14"/>
        <v>0.16288188714984511</v>
      </c>
    </row>
    <row r="162" spans="1:8" ht="15.75" customHeight="1">
      <c r="A162" s="4">
        <v>161</v>
      </c>
      <c r="B162" s="3">
        <v>21711</v>
      </c>
      <c r="C162" s="4">
        <v>42</v>
      </c>
      <c r="D162" s="13">
        <f t="shared" si="11"/>
        <v>41.560961742053145</v>
      </c>
      <c r="E162" s="13">
        <f t="shared" si="10"/>
        <v>3.4925668088928745</v>
      </c>
      <c r="F162" s="13">
        <f t="shared" si="12"/>
        <v>3.4925668088928745</v>
      </c>
      <c r="G162" s="13">
        <f t="shared" si="13"/>
        <v>12.198022914580157</v>
      </c>
      <c r="H162" s="5">
        <f t="shared" si="14"/>
        <v>8.3156352592687485E-2</v>
      </c>
    </row>
    <row r="163" spans="1:8" ht="15.75" customHeight="1">
      <c r="A163" s="4">
        <v>162</v>
      </c>
      <c r="B163" s="3">
        <v>21712</v>
      </c>
      <c r="C163" s="4">
        <v>48</v>
      </c>
      <c r="D163" s="13">
        <f t="shared" si="11"/>
        <v>41.580046295496558</v>
      </c>
      <c r="E163" s="13">
        <f t="shared" si="10"/>
        <v>9.4925668088928745</v>
      </c>
      <c r="F163" s="13">
        <f t="shared" si="12"/>
        <v>9.4925668088928745</v>
      </c>
      <c r="G163" s="13">
        <f t="shared" si="13"/>
        <v>90.108824621294644</v>
      </c>
      <c r="H163" s="5">
        <f t="shared" si="14"/>
        <v>0.19776180851860156</v>
      </c>
    </row>
    <row r="164" spans="1:8" ht="15.75" customHeight="1">
      <c r="A164" s="4">
        <v>163</v>
      </c>
      <c r="B164" s="3">
        <v>21713</v>
      </c>
      <c r="C164" s="4">
        <v>34</v>
      </c>
      <c r="D164" s="13">
        <f t="shared" si="11"/>
        <v>41.599130848939971</v>
      </c>
      <c r="E164" s="13">
        <f t="shared" si="10"/>
        <v>-4.5074331911071255</v>
      </c>
      <c r="F164" s="13">
        <f t="shared" si="12"/>
        <v>4.5074331911071255</v>
      </c>
      <c r="G164" s="13">
        <f t="shared" si="13"/>
        <v>20.316953972294165</v>
      </c>
      <c r="H164" s="5">
        <f t="shared" si="14"/>
        <v>0.13257156444432722</v>
      </c>
    </row>
    <row r="165" spans="1:8" ht="15.75" customHeight="1">
      <c r="A165" s="4">
        <v>164</v>
      </c>
      <c r="B165" s="3">
        <v>21714</v>
      </c>
      <c r="C165" s="4">
        <v>41</v>
      </c>
      <c r="D165" s="13">
        <f t="shared" si="11"/>
        <v>41.618215402383385</v>
      </c>
      <c r="E165" s="13">
        <f t="shared" si="10"/>
        <v>2.4925668088928745</v>
      </c>
      <c r="F165" s="13">
        <f t="shared" si="12"/>
        <v>2.4925668088928745</v>
      </c>
      <c r="G165" s="13">
        <f t="shared" si="13"/>
        <v>6.2128892967944074</v>
      </c>
      <c r="H165" s="5">
        <f t="shared" si="14"/>
        <v>6.079431241202133E-2</v>
      </c>
    </row>
    <row r="166" spans="1:8" ht="15.75" customHeight="1">
      <c r="A166" s="4">
        <v>165</v>
      </c>
      <c r="B166" s="3">
        <v>21715</v>
      </c>
      <c r="C166" s="4">
        <v>35</v>
      </c>
      <c r="D166" s="13">
        <f t="shared" si="11"/>
        <v>41.637299955826798</v>
      </c>
      <c r="E166" s="13">
        <f t="shared" si="10"/>
        <v>-3.5074331911071255</v>
      </c>
      <c r="F166" s="13">
        <f t="shared" si="12"/>
        <v>3.5074331911071255</v>
      </c>
      <c r="G166" s="13">
        <f t="shared" si="13"/>
        <v>12.302087590079914</v>
      </c>
      <c r="H166" s="5">
        <f t="shared" si="14"/>
        <v>0.10021237688877502</v>
      </c>
    </row>
    <row r="167" spans="1:8" ht="15.75" customHeight="1">
      <c r="A167" s="4">
        <v>166</v>
      </c>
      <c r="B167" s="3">
        <v>21716</v>
      </c>
      <c r="C167" s="4">
        <v>40</v>
      </c>
      <c r="D167" s="13">
        <f t="shared" si="11"/>
        <v>41.656384509270211</v>
      </c>
      <c r="E167" s="13">
        <f t="shared" si="10"/>
        <v>1.4925668088928745</v>
      </c>
      <c r="F167" s="13">
        <f t="shared" si="12"/>
        <v>1.4925668088928745</v>
      </c>
      <c r="G167" s="13">
        <f t="shared" si="13"/>
        <v>2.2277556790086588</v>
      </c>
      <c r="H167" s="5">
        <f t="shared" si="14"/>
        <v>3.7314170222321863E-2</v>
      </c>
    </row>
    <row r="168" spans="1:8" ht="15.75" customHeight="1">
      <c r="A168" s="4">
        <v>167</v>
      </c>
      <c r="B168" s="3">
        <v>21717</v>
      </c>
      <c r="C168" s="4">
        <v>34</v>
      </c>
      <c r="D168" s="13">
        <f t="shared" si="11"/>
        <v>41.675469062713624</v>
      </c>
      <c r="E168" s="13">
        <f t="shared" si="10"/>
        <v>-4.5074331911071255</v>
      </c>
      <c r="F168" s="13">
        <f t="shared" si="12"/>
        <v>4.5074331911071255</v>
      </c>
      <c r="G168" s="13">
        <f t="shared" si="13"/>
        <v>20.316953972294165</v>
      </c>
      <c r="H168" s="5">
        <f t="shared" si="14"/>
        <v>0.13257156444432722</v>
      </c>
    </row>
    <row r="169" spans="1:8" ht="15.75" customHeight="1">
      <c r="A169" s="4">
        <v>168</v>
      </c>
      <c r="B169" s="3">
        <v>21718</v>
      </c>
      <c r="C169" s="4">
        <v>30</v>
      </c>
      <c r="D169" s="13">
        <f t="shared" si="11"/>
        <v>41.69455361615703</v>
      </c>
      <c r="E169" s="13">
        <f t="shared" si="10"/>
        <v>-8.5074331911071255</v>
      </c>
      <c r="F169" s="13">
        <f t="shared" si="12"/>
        <v>8.5074331911071255</v>
      </c>
      <c r="G169" s="13">
        <f t="shared" si="13"/>
        <v>72.376419501151162</v>
      </c>
      <c r="H169" s="5">
        <f t="shared" si="14"/>
        <v>0.28358110637023753</v>
      </c>
    </row>
    <row r="170" spans="1:8" ht="15.75" customHeight="1">
      <c r="A170" s="4">
        <v>169</v>
      </c>
      <c r="B170" s="3">
        <v>21719</v>
      </c>
      <c r="C170" s="4">
        <v>36</v>
      </c>
      <c r="D170" s="13">
        <f t="shared" si="11"/>
        <v>41.713638169600443</v>
      </c>
      <c r="E170" s="13">
        <f t="shared" si="10"/>
        <v>-2.5074331911071255</v>
      </c>
      <c r="F170" s="13">
        <f t="shared" si="12"/>
        <v>2.5074331911071255</v>
      </c>
      <c r="G170" s="13">
        <f t="shared" si="13"/>
        <v>6.2872212078656622</v>
      </c>
      <c r="H170" s="5">
        <f t="shared" si="14"/>
        <v>6.9650921975197927E-2</v>
      </c>
    </row>
    <row r="171" spans="1:8" ht="15.75" customHeight="1">
      <c r="A171" s="4">
        <v>170</v>
      </c>
      <c r="B171" s="3">
        <v>21720</v>
      </c>
      <c r="C171" s="4">
        <v>40</v>
      </c>
      <c r="D171" s="13">
        <f t="shared" si="11"/>
        <v>41.732722723043857</v>
      </c>
      <c r="E171" s="13">
        <f t="shared" si="10"/>
        <v>1.4925668088928745</v>
      </c>
      <c r="F171" s="13">
        <f t="shared" si="12"/>
        <v>1.4925668088928745</v>
      </c>
      <c r="G171" s="13">
        <f t="shared" si="13"/>
        <v>2.2277556790086588</v>
      </c>
      <c r="H171" s="5">
        <f t="shared" si="14"/>
        <v>3.7314170222321863E-2</v>
      </c>
    </row>
    <row r="172" spans="1:8" ht="15.75" customHeight="1">
      <c r="A172" s="4">
        <v>171</v>
      </c>
      <c r="B172" s="3">
        <v>21721</v>
      </c>
      <c r="C172" s="4">
        <v>39</v>
      </c>
      <c r="D172" s="13">
        <f t="shared" si="11"/>
        <v>41.75180727648727</v>
      </c>
      <c r="E172" s="13">
        <f t="shared" si="10"/>
        <v>0.49256680889287452</v>
      </c>
      <c r="F172" s="13">
        <f t="shared" si="12"/>
        <v>0.49256680889287452</v>
      </c>
      <c r="G172" s="13">
        <f t="shared" si="13"/>
        <v>0.24262206122290958</v>
      </c>
      <c r="H172" s="5">
        <f t="shared" si="14"/>
        <v>1.2629918176740373E-2</v>
      </c>
    </row>
    <row r="173" spans="1:8" ht="15.75" customHeight="1">
      <c r="A173" s="4">
        <v>172</v>
      </c>
      <c r="B173" s="3">
        <v>21722</v>
      </c>
      <c r="C173" s="4">
        <v>45</v>
      </c>
      <c r="D173" s="13">
        <f t="shared" si="11"/>
        <v>41.770891829930683</v>
      </c>
      <c r="E173" s="13">
        <f t="shared" si="10"/>
        <v>6.4925668088928745</v>
      </c>
      <c r="F173" s="13">
        <f t="shared" si="12"/>
        <v>6.4925668088928745</v>
      </c>
      <c r="G173" s="13">
        <f t="shared" si="13"/>
        <v>42.153423767937404</v>
      </c>
      <c r="H173" s="5">
        <f t="shared" si="14"/>
        <v>0.14427926241984165</v>
      </c>
    </row>
    <row r="174" spans="1:8" ht="15.75" customHeight="1">
      <c r="A174" s="4">
        <v>173</v>
      </c>
      <c r="B174" s="3">
        <v>21723</v>
      </c>
      <c r="C174" s="4">
        <v>38</v>
      </c>
      <c r="D174" s="13">
        <f t="shared" si="11"/>
        <v>41.789976383374096</v>
      </c>
      <c r="E174" s="13">
        <f t="shared" si="10"/>
        <v>-0.50743319110712548</v>
      </c>
      <c r="F174" s="13">
        <f t="shared" si="12"/>
        <v>0.50743319110712548</v>
      </c>
      <c r="G174" s="13">
        <f t="shared" si="13"/>
        <v>0.25748844343716054</v>
      </c>
      <c r="H174" s="5">
        <f t="shared" si="14"/>
        <v>1.3353505029134882E-2</v>
      </c>
    </row>
    <row r="175" spans="1:8" ht="15.75" customHeight="1">
      <c r="A175" s="4">
        <v>174</v>
      </c>
      <c r="B175" s="3">
        <v>21724</v>
      </c>
      <c r="C175" s="4">
        <v>47</v>
      </c>
      <c r="D175" s="13">
        <f t="shared" si="11"/>
        <v>41.809060936817509</v>
      </c>
      <c r="E175" s="13">
        <f t="shared" si="10"/>
        <v>8.4925668088928745</v>
      </c>
      <c r="F175" s="13">
        <f t="shared" si="12"/>
        <v>8.4925668088928745</v>
      </c>
      <c r="G175" s="13">
        <f t="shared" si="13"/>
        <v>72.123691003508895</v>
      </c>
      <c r="H175" s="5">
        <f t="shared" si="14"/>
        <v>0.18069291082750796</v>
      </c>
    </row>
    <row r="176" spans="1:8" ht="15.75" customHeight="1">
      <c r="A176" s="4">
        <v>175</v>
      </c>
      <c r="B176" s="3">
        <v>21725</v>
      </c>
      <c r="C176" s="4">
        <v>33</v>
      </c>
      <c r="D176" s="13">
        <f t="shared" si="11"/>
        <v>41.828145490260923</v>
      </c>
      <c r="E176" s="13">
        <f t="shared" si="10"/>
        <v>-5.5074331911071255</v>
      </c>
      <c r="F176" s="13">
        <f t="shared" si="12"/>
        <v>5.5074331911071255</v>
      </c>
      <c r="G176" s="13">
        <f t="shared" si="13"/>
        <v>30.331820354508416</v>
      </c>
      <c r="H176" s="5">
        <f t="shared" si="14"/>
        <v>0.16689191488203411</v>
      </c>
    </row>
    <row r="177" spans="1:8" ht="15.75" customHeight="1">
      <c r="A177" s="4">
        <v>176</v>
      </c>
      <c r="B177" s="3">
        <v>21726</v>
      </c>
      <c r="C177" s="4">
        <v>30</v>
      </c>
      <c r="D177" s="13">
        <f t="shared" si="11"/>
        <v>41.847230043704336</v>
      </c>
      <c r="E177" s="13">
        <f t="shared" si="10"/>
        <v>-8.5074331911071255</v>
      </c>
      <c r="F177" s="13">
        <f t="shared" si="12"/>
        <v>8.5074331911071255</v>
      </c>
      <c r="G177" s="13">
        <f t="shared" si="13"/>
        <v>72.376419501151162</v>
      </c>
      <c r="H177" s="5">
        <f t="shared" si="14"/>
        <v>0.28358110637023753</v>
      </c>
    </row>
    <row r="178" spans="1:8" ht="15.75" customHeight="1">
      <c r="A178" s="4">
        <v>177</v>
      </c>
      <c r="B178" s="3">
        <v>21727</v>
      </c>
      <c r="C178" s="4">
        <v>42</v>
      </c>
      <c r="D178" s="13">
        <f t="shared" si="11"/>
        <v>41.866314597147749</v>
      </c>
      <c r="E178" s="13">
        <f t="shared" si="10"/>
        <v>3.4925668088928745</v>
      </c>
      <c r="F178" s="13">
        <f t="shared" si="12"/>
        <v>3.4925668088928745</v>
      </c>
      <c r="G178" s="13">
        <f t="shared" si="13"/>
        <v>12.198022914580157</v>
      </c>
      <c r="H178" s="5">
        <f t="shared" si="14"/>
        <v>8.3156352592687485E-2</v>
      </c>
    </row>
    <row r="179" spans="1:8" ht="15.75" customHeight="1">
      <c r="A179" s="4">
        <v>178</v>
      </c>
      <c r="B179" s="3">
        <v>21728</v>
      </c>
      <c r="C179" s="4">
        <v>43</v>
      </c>
      <c r="D179" s="13">
        <f t="shared" si="11"/>
        <v>41.885399150591162</v>
      </c>
      <c r="E179" s="13">
        <f t="shared" si="10"/>
        <v>4.4925668088928745</v>
      </c>
      <c r="F179" s="13">
        <f t="shared" si="12"/>
        <v>4.4925668088928745</v>
      </c>
      <c r="G179" s="13">
        <f t="shared" si="13"/>
        <v>20.183156532365906</v>
      </c>
      <c r="H179" s="5">
        <f t="shared" si="14"/>
        <v>0.10447829788122964</v>
      </c>
    </row>
    <row r="180" spans="1:8" ht="15.75" customHeight="1">
      <c r="A180" s="4">
        <v>179</v>
      </c>
      <c r="B180" s="3">
        <v>21729</v>
      </c>
      <c r="C180" s="4">
        <v>41</v>
      </c>
      <c r="D180" s="13">
        <f t="shared" si="11"/>
        <v>41.904483704034575</v>
      </c>
      <c r="E180" s="13">
        <f t="shared" si="10"/>
        <v>2.4925668088928745</v>
      </c>
      <c r="F180" s="13">
        <f t="shared" si="12"/>
        <v>2.4925668088928745</v>
      </c>
      <c r="G180" s="13">
        <f t="shared" si="13"/>
        <v>6.2128892967944074</v>
      </c>
      <c r="H180" s="5">
        <f t="shared" si="14"/>
        <v>6.079431241202133E-2</v>
      </c>
    </row>
    <row r="181" spans="1:8" ht="15.75" customHeight="1">
      <c r="A181" s="4">
        <v>180</v>
      </c>
      <c r="B181" s="3">
        <v>21730</v>
      </c>
      <c r="C181" s="4">
        <v>41</v>
      </c>
      <c r="D181" s="13">
        <f t="shared" si="11"/>
        <v>41.923568257477982</v>
      </c>
      <c r="E181" s="13">
        <f t="shared" si="10"/>
        <v>2.4925668088928745</v>
      </c>
      <c r="F181" s="13">
        <f t="shared" si="12"/>
        <v>2.4925668088928745</v>
      </c>
      <c r="G181" s="13">
        <f t="shared" si="13"/>
        <v>6.2128892967944074</v>
      </c>
      <c r="H181" s="5">
        <f t="shared" si="14"/>
        <v>6.079431241202133E-2</v>
      </c>
    </row>
    <row r="182" spans="1:8" ht="15.75" customHeight="1">
      <c r="A182" s="4">
        <v>181</v>
      </c>
      <c r="B182" s="3">
        <v>21731</v>
      </c>
      <c r="C182" s="4">
        <v>59</v>
      </c>
      <c r="D182" s="13">
        <f t="shared" si="11"/>
        <v>41.942652810921395</v>
      </c>
      <c r="E182" s="13">
        <f t="shared" si="10"/>
        <v>20.492566808892875</v>
      </c>
      <c r="F182" s="13">
        <f t="shared" si="12"/>
        <v>20.492566808892875</v>
      </c>
      <c r="G182" s="13">
        <f t="shared" si="13"/>
        <v>419.94529441693788</v>
      </c>
      <c r="H182" s="5">
        <f t="shared" si="14"/>
        <v>0.34733164082869278</v>
      </c>
    </row>
    <row r="183" spans="1:8" ht="15.75" customHeight="1">
      <c r="A183" s="4">
        <v>182</v>
      </c>
      <c r="B183" s="3">
        <v>21732</v>
      </c>
      <c r="C183" s="4">
        <v>43</v>
      </c>
      <c r="D183" s="13">
        <f t="shared" si="11"/>
        <v>41.961737364364808</v>
      </c>
      <c r="E183" s="13">
        <f t="shared" si="10"/>
        <v>4.4925668088928745</v>
      </c>
      <c r="F183" s="13">
        <f t="shared" si="12"/>
        <v>4.4925668088928745</v>
      </c>
      <c r="G183" s="13">
        <f t="shared" si="13"/>
        <v>20.183156532365906</v>
      </c>
      <c r="H183" s="5">
        <f t="shared" si="14"/>
        <v>0.10447829788122964</v>
      </c>
    </row>
    <row r="184" spans="1:8" ht="15.75" customHeight="1">
      <c r="A184" s="4">
        <v>183</v>
      </c>
      <c r="B184" s="3">
        <v>21733</v>
      </c>
      <c r="C184" s="4">
        <v>45</v>
      </c>
      <c r="D184" s="13">
        <f t="shared" si="11"/>
        <v>41.980821917808221</v>
      </c>
      <c r="E184" s="13">
        <f t="shared" si="10"/>
        <v>6.4925668088928745</v>
      </c>
      <c r="F184" s="13">
        <f t="shared" si="12"/>
        <v>6.4925668088928745</v>
      </c>
      <c r="G184" s="13">
        <f t="shared" si="13"/>
        <v>42.153423767937404</v>
      </c>
      <c r="H184" s="5">
        <f t="shared" si="14"/>
        <v>0.14427926241984165</v>
      </c>
    </row>
    <row r="185" spans="1:8" ht="15.75" customHeight="1">
      <c r="A185" s="4">
        <v>184</v>
      </c>
      <c r="B185" s="3">
        <v>21734</v>
      </c>
      <c r="C185" s="4">
        <v>38</v>
      </c>
      <c r="D185" s="13">
        <f t="shared" si="11"/>
        <v>41.999906471251634</v>
      </c>
      <c r="E185" s="13">
        <f t="shared" si="10"/>
        <v>-0.50743319110712548</v>
      </c>
      <c r="F185" s="13">
        <f t="shared" si="12"/>
        <v>0.50743319110712548</v>
      </c>
      <c r="G185" s="13">
        <f t="shared" si="13"/>
        <v>0.25748844343716054</v>
      </c>
      <c r="H185" s="5">
        <f t="shared" si="14"/>
        <v>1.3353505029134882E-2</v>
      </c>
    </row>
    <row r="186" spans="1:8" ht="15.75" customHeight="1">
      <c r="A186" s="4">
        <v>185</v>
      </c>
      <c r="B186" s="3">
        <v>21735</v>
      </c>
      <c r="C186" s="4">
        <v>37</v>
      </c>
      <c r="D186" s="13">
        <f t="shared" si="11"/>
        <v>42.018991024695048</v>
      </c>
      <c r="E186" s="13">
        <f t="shared" si="10"/>
        <v>-1.5074331911071255</v>
      </c>
      <c r="F186" s="13">
        <f t="shared" si="12"/>
        <v>1.5074331911071255</v>
      </c>
      <c r="G186" s="13">
        <f t="shared" si="13"/>
        <v>2.2723548256514117</v>
      </c>
      <c r="H186" s="5">
        <f t="shared" si="14"/>
        <v>4.0741437597489875E-2</v>
      </c>
    </row>
    <row r="187" spans="1:8" ht="15.75" customHeight="1">
      <c r="A187" s="4">
        <v>186</v>
      </c>
      <c r="B187" s="3">
        <v>21736</v>
      </c>
      <c r="C187" s="4">
        <v>45</v>
      </c>
      <c r="D187" s="13">
        <f t="shared" si="11"/>
        <v>42.038075578138461</v>
      </c>
      <c r="E187" s="13">
        <f t="shared" si="10"/>
        <v>6.4925668088928745</v>
      </c>
      <c r="F187" s="13">
        <f t="shared" si="12"/>
        <v>6.4925668088928745</v>
      </c>
      <c r="G187" s="13">
        <f t="shared" si="13"/>
        <v>42.153423767937404</v>
      </c>
      <c r="H187" s="5">
        <f t="shared" si="14"/>
        <v>0.14427926241984165</v>
      </c>
    </row>
    <row r="188" spans="1:8" ht="15.75" customHeight="1">
      <c r="A188" s="4">
        <v>187</v>
      </c>
      <c r="B188" s="3">
        <v>21737</v>
      </c>
      <c r="C188" s="4">
        <v>42</v>
      </c>
      <c r="D188" s="13">
        <f t="shared" si="11"/>
        <v>42.057160131581874</v>
      </c>
      <c r="E188" s="13">
        <f t="shared" si="10"/>
        <v>3.4925668088928745</v>
      </c>
      <c r="F188" s="13">
        <f t="shared" si="12"/>
        <v>3.4925668088928745</v>
      </c>
      <c r="G188" s="13">
        <f t="shared" si="13"/>
        <v>12.198022914580157</v>
      </c>
      <c r="H188" s="5">
        <f t="shared" si="14"/>
        <v>8.3156352592687485E-2</v>
      </c>
    </row>
    <row r="189" spans="1:8" ht="15.75" customHeight="1">
      <c r="A189" s="4">
        <v>188</v>
      </c>
      <c r="B189" s="3">
        <v>21738</v>
      </c>
      <c r="C189" s="4">
        <v>57</v>
      </c>
      <c r="D189" s="13">
        <f t="shared" si="11"/>
        <v>42.076244685025287</v>
      </c>
      <c r="E189" s="13">
        <f t="shared" si="10"/>
        <v>18.492566808892875</v>
      </c>
      <c r="F189" s="13">
        <f t="shared" si="12"/>
        <v>18.492566808892875</v>
      </c>
      <c r="G189" s="13">
        <f t="shared" si="13"/>
        <v>341.97502718136639</v>
      </c>
      <c r="H189" s="5">
        <f t="shared" si="14"/>
        <v>0.3244309966472434</v>
      </c>
    </row>
    <row r="190" spans="1:8" ht="15.75" customHeight="1">
      <c r="A190" s="4">
        <v>189</v>
      </c>
      <c r="B190" s="3">
        <v>21739</v>
      </c>
      <c r="C190" s="4">
        <v>46</v>
      </c>
      <c r="D190" s="13">
        <f t="shared" si="11"/>
        <v>42.0953292384687</v>
      </c>
      <c r="E190" s="13">
        <f t="shared" si="10"/>
        <v>7.4925668088928745</v>
      </c>
      <c r="F190" s="13">
        <f t="shared" si="12"/>
        <v>7.4925668088928745</v>
      </c>
      <c r="G190" s="13">
        <f t="shared" si="13"/>
        <v>56.138557385723153</v>
      </c>
      <c r="H190" s="5">
        <f t="shared" si="14"/>
        <v>0.16288188714984511</v>
      </c>
    </row>
    <row r="191" spans="1:8" ht="15.75" customHeight="1">
      <c r="A191" s="4">
        <v>190</v>
      </c>
      <c r="B191" s="3">
        <v>21740</v>
      </c>
      <c r="C191" s="4">
        <v>51</v>
      </c>
      <c r="D191" s="13">
        <f t="shared" si="11"/>
        <v>42.114413791912114</v>
      </c>
      <c r="E191" s="13">
        <f t="shared" si="10"/>
        <v>12.492566808892875</v>
      </c>
      <c r="F191" s="13">
        <f t="shared" si="12"/>
        <v>12.492566808892875</v>
      </c>
      <c r="G191" s="13">
        <f t="shared" si="13"/>
        <v>156.06422547465189</v>
      </c>
      <c r="H191" s="5">
        <f t="shared" si="14"/>
        <v>0.24495229037044852</v>
      </c>
    </row>
    <row r="192" spans="1:8" ht="15.75" customHeight="1">
      <c r="A192" s="4">
        <v>191</v>
      </c>
      <c r="B192" s="3">
        <v>21741</v>
      </c>
      <c r="C192" s="4">
        <v>41</v>
      </c>
      <c r="D192" s="13">
        <f t="shared" si="11"/>
        <v>42.133498345355527</v>
      </c>
      <c r="E192" s="13">
        <f t="shared" si="10"/>
        <v>2.4925668088928745</v>
      </c>
      <c r="F192" s="13">
        <f t="shared" si="12"/>
        <v>2.4925668088928745</v>
      </c>
      <c r="G192" s="13">
        <f t="shared" si="13"/>
        <v>6.2128892967944074</v>
      </c>
      <c r="H192" s="5">
        <f t="shared" si="14"/>
        <v>6.079431241202133E-2</v>
      </c>
    </row>
    <row r="193" spans="1:8" ht="15.75" customHeight="1">
      <c r="A193" s="4">
        <v>192</v>
      </c>
      <c r="B193" s="3">
        <v>21742</v>
      </c>
      <c r="C193" s="4">
        <v>47</v>
      </c>
      <c r="D193" s="13">
        <f t="shared" si="11"/>
        <v>42.15258289879894</v>
      </c>
      <c r="E193" s="13">
        <f t="shared" si="10"/>
        <v>8.4925668088928745</v>
      </c>
      <c r="F193" s="13">
        <f t="shared" si="12"/>
        <v>8.4925668088928745</v>
      </c>
      <c r="G193" s="13">
        <f t="shared" si="13"/>
        <v>72.123691003508895</v>
      </c>
      <c r="H193" s="5">
        <f t="shared" si="14"/>
        <v>0.18069291082750796</v>
      </c>
    </row>
    <row r="194" spans="1:8" ht="15.75" customHeight="1">
      <c r="A194" s="4">
        <v>193</v>
      </c>
      <c r="B194" s="3">
        <v>21743</v>
      </c>
      <c r="C194" s="4">
        <v>26</v>
      </c>
      <c r="D194" s="13">
        <f t="shared" si="11"/>
        <v>42.171667452242346</v>
      </c>
      <c r="E194" s="13">
        <f t="shared" ref="E194:E257" si="15">C194-solver_opt</f>
        <v>-12.507433191107125</v>
      </c>
      <c r="F194" s="13">
        <f t="shared" si="12"/>
        <v>12.507433191107125</v>
      </c>
      <c r="G194" s="13">
        <f t="shared" si="13"/>
        <v>156.43588503000817</v>
      </c>
      <c r="H194" s="5">
        <f t="shared" si="14"/>
        <v>0.48105512273488943</v>
      </c>
    </row>
    <row r="195" spans="1:8" ht="15.75" customHeight="1">
      <c r="A195" s="4">
        <v>194</v>
      </c>
      <c r="B195" s="3">
        <v>21744</v>
      </c>
      <c r="C195" s="4">
        <v>35</v>
      </c>
      <c r="D195" s="13">
        <f t="shared" ref="D195:D258" si="16">_xlfn.FORECAST.LINEAR(A195,$C$2:$C$366,$A$2:$A$366)</f>
        <v>42.190752005685759</v>
      </c>
      <c r="E195" s="13">
        <f t="shared" si="15"/>
        <v>-3.5074331911071255</v>
      </c>
      <c r="F195" s="13">
        <f t="shared" ref="F195:F258" si="17">ABS(E195)</f>
        <v>3.5074331911071255</v>
      </c>
      <c r="G195" s="13">
        <f t="shared" ref="G195:G258" si="18">F195^2</f>
        <v>12.302087590079914</v>
      </c>
      <c r="H195" s="5">
        <f t="shared" ref="H195:H258" si="19">F195/C195</f>
        <v>0.10021237688877502</v>
      </c>
    </row>
    <row r="196" spans="1:8" ht="15.75" customHeight="1">
      <c r="A196" s="4">
        <v>195</v>
      </c>
      <c r="B196" s="3">
        <v>21745</v>
      </c>
      <c r="C196" s="4">
        <v>44</v>
      </c>
      <c r="D196" s="13">
        <f t="shared" si="16"/>
        <v>42.209836559129172</v>
      </c>
      <c r="E196" s="13">
        <f t="shared" si="15"/>
        <v>5.4925668088928745</v>
      </c>
      <c r="F196" s="13">
        <f t="shared" si="17"/>
        <v>5.4925668088928745</v>
      </c>
      <c r="G196" s="13">
        <f t="shared" si="18"/>
        <v>30.168290150151655</v>
      </c>
      <c r="H196" s="5">
        <f t="shared" si="19"/>
        <v>0.12483106383847442</v>
      </c>
    </row>
    <row r="197" spans="1:8" ht="15.75" customHeight="1">
      <c r="A197" s="4">
        <v>196</v>
      </c>
      <c r="B197" s="3">
        <v>21746</v>
      </c>
      <c r="C197" s="4">
        <v>41</v>
      </c>
      <c r="D197" s="13">
        <f t="shared" si="16"/>
        <v>42.228921112572586</v>
      </c>
      <c r="E197" s="13">
        <f t="shared" si="15"/>
        <v>2.4925668088928745</v>
      </c>
      <c r="F197" s="13">
        <f t="shared" si="17"/>
        <v>2.4925668088928745</v>
      </c>
      <c r="G197" s="13">
        <f t="shared" si="18"/>
        <v>6.2128892967944074</v>
      </c>
      <c r="H197" s="5">
        <f t="shared" si="19"/>
        <v>6.079431241202133E-2</v>
      </c>
    </row>
    <row r="198" spans="1:8" ht="15.75" customHeight="1">
      <c r="A198" s="4">
        <v>197</v>
      </c>
      <c r="B198" s="3">
        <v>21747</v>
      </c>
      <c r="C198" s="4">
        <v>42</v>
      </c>
      <c r="D198" s="13">
        <f t="shared" si="16"/>
        <v>42.248005666015999</v>
      </c>
      <c r="E198" s="13">
        <f t="shared" si="15"/>
        <v>3.4925668088928745</v>
      </c>
      <c r="F198" s="13">
        <f t="shared" si="17"/>
        <v>3.4925668088928745</v>
      </c>
      <c r="G198" s="13">
        <f t="shared" si="18"/>
        <v>12.198022914580157</v>
      </c>
      <c r="H198" s="5">
        <f t="shared" si="19"/>
        <v>8.3156352592687485E-2</v>
      </c>
    </row>
    <row r="199" spans="1:8" ht="15.75" customHeight="1">
      <c r="A199" s="4">
        <v>198</v>
      </c>
      <c r="B199" s="3">
        <v>21748</v>
      </c>
      <c r="C199" s="4">
        <v>36</v>
      </c>
      <c r="D199" s="13">
        <f t="shared" si="16"/>
        <v>42.267090219459412</v>
      </c>
      <c r="E199" s="13">
        <f t="shared" si="15"/>
        <v>-2.5074331911071255</v>
      </c>
      <c r="F199" s="13">
        <f t="shared" si="17"/>
        <v>2.5074331911071255</v>
      </c>
      <c r="G199" s="13">
        <f t="shared" si="18"/>
        <v>6.2872212078656622</v>
      </c>
      <c r="H199" s="5">
        <f t="shared" si="19"/>
        <v>6.9650921975197927E-2</v>
      </c>
    </row>
    <row r="200" spans="1:8" ht="15.75" customHeight="1">
      <c r="A200" s="4">
        <v>199</v>
      </c>
      <c r="B200" s="3">
        <v>21749</v>
      </c>
      <c r="C200" s="4">
        <v>45</v>
      </c>
      <c r="D200" s="13">
        <f t="shared" si="16"/>
        <v>42.286174772902825</v>
      </c>
      <c r="E200" s="13">
        <f t="shared" si="15"/>
        <v>6.4925668088928745</v>
      </c>
      <c r="F200" s="13">
        <f t="shared" si="17"/>
        <v>6.4925668088928745</v>
      </c>
      <c r="G200" s="13">
        <f t="shared" si="18"/>
        <v>42.153423767937404</v>
      </c>
      <c r="H200" s="5">
        <f t="shared" si="19"/>
        <v>0.14427926241984165</v>
      </c>
    </row>
    <row r="201" spans="1:8" ht="15.75" customHeight="1">
      <c r="A201" s="4">
        <v>200</v>
      </c>
      <c r="B201" s="3">
        <v>21750</v>
      </c>
      <c r="C201" s="4">
        <v>45</v>
      </c>
      <c r="D201" s="13">
        <f t="shared" si="16"/>
        <v>42.305259326346238</v>
      </c>
      <c r="E201" s="13">
        <f t="shared" si="15"/>
        <v>6.4925668088928745</v>
      </c>
      <c r="F201" s="13">
        <f t="shared" si="17"/>
        <v>6.4925668088928745</v>
      </c>
      <c r="G201" s="13">
        <f t="shared" si="18"/>
        <v>42.153423767937404</v>
      </c>
      <c r="H201" s="5">
        <f t="shared" si="19"/>
        <v>0.14427926241984165</v>
      </c>
    </row>
    <row r="202" spans="1:8" ht="15.75" customHeight="1">
      <c r="A202" s="4">
        <v>201</v>
      </c>
      <c r="B202" s="3">
        <v>21751</v>
      </c>
      <c r="C202" s="4">
        <v>45</v>
      </c>
      <c r="D202" s="13">
        <f t="shared" si="16"/>
        <v>42.324343879789652</v>
      </c>
      <c r="E202" s="13">
        <f t="shared" si="15"/>
        <v>6.4925668088928745</v>
      </c>
      <c r="F202" s="13">
        <f t="shared" si="17"/>
        <v>6.4925668088928745</v>
      </c>
      <c r="G202" s="13">
        <f t="shared" si="18"/>
        <v>42.153423767937404</v>
      </c>
      <c r="H202" s="5">
        <f t="shared" si="19"/>
        <v>0.14427926241984165</v>
      </c>
    </row>
    <row r="203" spans="1:8" ht="15.75" customHeight="1">
      <c r="A203" s="4">
        <v>202</v>
      </c>
      <c r="B203" s="3">
        <v>21752</v>
      </c>
      <c r="C203" s="4">
        <v>47</v>
      </c>
      <c r="D203" s="13">
        <f t="shared" si="16"/>
        <v>42.343428433233065</v>
      </c>
      <c r="E203" s="13">
        <f t="shared" si="15"/>
        <v>8.4925668088928745</v>
      </c>
      <c r="F203" s="13">
        <f t="shared" si="17"/>
        <v>8.4925668088928745</v>
      </c>
      <c r="G203" s="13">
        <f t="shared" si="18"/>
        <v>72.123691003508895</v>
      </c>
      <c r="H203" s="5">
        <f t="shared" si="19"/>
        <v>0.18069291082750796</v>
      </c>
    </row>
    <row r="204" spans="1:8" ht="15.75" customHeight="1">
      <c r="A204" s="4">
        <v>203</v>
      </c>
      <c r="B204" s="3">
        <v>21753</v>
      </c>
      <c r="C204" s="4">
        <v>38</v>
      </c>
      <c r="D204" s="13">
        <f t="shared" si="16"/>
        <v>42.362512986676478</v>
      </c>
      <c r="E204" s="13">
        <f t="shared" si="15"/>
        <v>-0.50743319110712548</v>
      </c>
      <c r="F204" s="13">
        <f t="shared" si="17"/>
        <v>0.50743319110712548</v>
      </c>
      <c r="G204" s="13">
        <f t="shared" si="18"/>
        <v>0.25748844343716054</v>
      </c>
      <c r="H204" s="5">
        <f t="shared" si="19"/>
        <v>1.3353505029134882E-2</v>
      </c>
    </row>
    <row r="205" spans="1:8" ht="15.75" customHeight="1">
      <c r="A205" s="4">
        <v>204</v>
      </c>
      <c r="B205" s="3">
        <v>21754</v>
      </c>
      <c r="C205" s="4">
        <v>42</v>
      </c>
      <c r="D205" s="13">
        <f t="shared" si="16"/>
        <v>42.381597540119891</v>
      </c>
      <c r="E205" s="13">
        <f t="shared" si="15"/>
        <v>3.4925668088928745</v>
      </c>
      <c r="F205" s="13">
        <f t="shared" si="17"/>
        <v>3.4925668088928745</v>
      </c>
      <c r="G205" s="13">
        <f t="shared" si="18"/>
        <v>12.198022914580157</v>
      </c>
      <c r="H205" s="5">
        <f t="shared" si="19"/>
        <v>8.3156352592687485E-2</v>
      </c>
    </row>
    <row r="206" spans="1:8" ht="15.75" customHeight="1">
      <c r="A206" s="4">
        <v>205</v>
      </c>
      <c r="B206" s="3">
        <v>21755</v>
      </c>
      <c r="C206" s="4">
        <v>35</v>
      </c>
      <c r="D206" s="13">
        <f t="shared" si="16"/>
        <v>42.400682093563304</v>
      </c>
      <c r="E206" s="13">
        <f t="shared" si="15"/>
        <v>-3.5074331911071255</v>
      </c>
      <c r="F206" s="13">
        <f t="shared" si="17"/>
        <v>3.5074331911071255</v>
      </c>
      <c r="G206" s="13">
        <f t="shared" si="18"/>
        <v>12.302087590079914</v>
      </c>
      <c r="H206" s="5">
        <f t="shared" si="19"/>
        <v>0.10021237688877502</v>
      </c>
    </row>
    <row r="207" spans="1:8" ht="15.75" customHeight="1">
      <c r="A207" s="4">
        <v>206</v>
      </c>
      <c r="B207" s="3">
        <v>21756</v>
      </c>
      <c r="C207" s="4">
        <v>36</v>
      </c>
      <c r="D207" s="13">
        <f t="shared" si="16"/>
        <v>42.419766647006711</v>
      </c>
      <c r="E207" s="13">
        <f t="shared" si="15"/>
        <v>-2.5074331911071255</v>
      </c>
      <c r="F207" s="13">
        <f t="shared" si="17"/>
        <v>2.5074331911071255</v>
      </c>
      <c r="G207" s="13">
        <f t="shared" si="18"/>
        <v>6.2872212078656622</v>
      </c>
      <c r="H207" s="5">
        <f t="shared" si="19"/>
        <v>6.9650921975197927E-2</v>
      </c>
    </row>
    <row r="208" spans="1:8" ht="15.75" customHeight="1">
      <c r="A208" s="4">
        <v>207</v>
      </c>
      <c r="B208" s="3">
        <v>21757</v>
      </c>
      <c r="C208" s="4">
        <v>39</v>
      </c>
      <c r="D208" s="13">
        <f t="shared" si="16"/>
        <v>42.438851200450124</v>
      </c>
      <c r="E208" s="13">
        <f t="shared" si="15"/>
        <v>0.49256680889287452</v>
      </c>
      <c r="F208" s="13">
        <f t="shared" si="17"/>
        <v>0.49256680889287452</v>
      </c>
      <c r="G208" s="13">
        <f t="shared" si="18"/>
        <v>0.24262206122290958</v>
      </c>
      <c r="H208" s="5">
        <f t="shared" si="19"/>
        <v>1.2629918176740373E-2</v>
      </c>
    </row>
    <row r="209" spans="1:8" ht="15.75" customHeight="1">
      <c r="A209" s="4">
        <v>208</v>
      </c>
      <c r="B209" s="3">
        <v>21758</v>
      </c>
      <c r="C209" s="4">
        <v>45</v>
      </c>
      <c r="D209" s="13">
        <f t="shared" si="16"/>
        <v>42.457935753893537</v>
      </c>
      <c r="E209" s="13">
        <f t="shared" si="15"/>
        <v>6.4925668088928745</v>
      </c>
      <c r="F209" s="13">
        <f t="shared" si="17"/>
        <v>6.4925668088928745</v>
      </c>
      <c r="G209" s="13">
        <f t="shared" si="18"/>
        <v>42.153423767937404</v>
      </c>
      <c r="H209" s="5">
        <f t="shared" si="19"/>
        <v>0.14427926241984165</v>
      </c>
    </row>
    <row r="210" spans="1:8" ht="15.75" customHeight="1">
      <c r="A210" s="4">
        <v>209</v>
      </c>
      <c r="B210" s="3">
        <v>21759</v>
      </c>
      <c r="C210" s="4">
        <v>43</v>
      </c>
      <c r="D210" s="13">
        <f t="shared" si="16"/>
        <v>42.47702030733695</v>
      </c>
      <c r="E210" s="13">
        <f t="shared" si="15"/>
        <v>4.4925668088928745</v>
      </c>
      <c r="F210" s="13">
        <f t="shared" si="17"/>
        <v>4.4925668088928745</v>
      </c>
      <c r="G210" s="13">
        <f t="shared" si="18"/>
        <v>20.183156532365906</v>
      </c>
      <c r="H210" s="5">
        <f t="shared" si="19"/>
        <v>0.10447829788122964</v>
      </c>
    </row>
    <row r="211" spans="1:8" ht="15.75" customHeight="1">
      <c r="A211" s="4">
        <v>210</v>
      </c>
      <c r="B211" s="3">
        <v>21760</v>
      </c>
      <c r="C211" s="4">
        <v>47</v>
      </c>
      <c r="D211" s="13">
        <f t="shared" si="16"/>
        <v>42.496104860780363</v>
      </c>
      <c r="E211" s="13">
        <f t="shared" si="15"/>
        <v>8.4925668088928745</v>
      </c>
      <c r="F211" s="13">
        <f t="shared" si="17"/>
        <v>8.4925668088928745</v>
      </c>
      <c r="G211" s="13">
        <f t="shared" si="18"/>
        <v>72.123691003508895</v>
      </c>
      <c r="H211" s="5">
        <f t="shared" si="19"/>
        <v>0.18069291082750796</v>
      </c>
    </row>
    <row r="212" spans="1:8" ht="15.75" customHeight="1">
      <c r="A212" s="4">
        <v>211</v>
      </c>
      <c r="B212" s="3">
        <v>21761</v>
      </c>
      <c r="C212" s="4">
        <v>36</v>
      </c>
      <c r="D212" s="13">
        <f t="shared" si="16"/>
        <v>42.515189414223777</v>
      </c>
      <c r="E212" s="13">
        <f t="shared" si="15"/>
        <v>-2.5074331911071255</v>
      </c>
      <c r="F212" s="13">
        <f t="shared" si="17"/>
        <v>2.5074331911071255</v>
      </c>
      <c r="G212" s="13">
        <f t="shared" si="18"/>
        <v>6.2872212078656622</v>
      </c>
      <c r="H212" s="5">
        <f t="shared" si="19"/>
        <v>6.9650921975197927E-2</v>
      </c>
    </row>
    <row r="213" spans="1:8" ht="15.75" customHeight="1">
      <c r="A213" s="4">
        <v>212</v>
      </c>
      <c r="B213" s="3">
        <v>21762</v>
      </c>
      <c r="C213" s="4">
        <v>41</v>
      </c>
      <c r="D213" s="13">
        <f t="shared" si="16"/>
        <v>42.53427396766719</v>
      </c>
      <c r="E213" s="13">
        <f t="shared" si="15"/>
        <v>2.4925668088928745</v>
      </c>
      <c r="F213" s="13">
        <f t="shared" si="17"/>
        <v>2.4925668088928745</v>
      </c>
      <c r="G213" s="13">
        <f t="shared" si="18"/>
        <v>6.2128892967944074</v>
      </c>
      <c r="H213" s="5">
        <f t="shared" si="19"/>
        <v>6.079431241202133E-2</v>
      </c>
    </row>
    <row r="214" spans="1:8" ht="15.75" customHeight="1">
      <c r="A214" s="4">
        <v>213</v>
      </c>
      <c r="B214" s="3">
        <v>21763</v>
      </c>
      <c r="C214" s="4">
        <v>50</v>
      </c>
      <c r="D214" s="13">
        <f t="shared" si="16"/>
        <v>42.553358521110603</v>
      </c>
      <c r="E214" s="13">
        <f t="shared" si="15"/>
        <v>11.492566808892875</v>
      </c>
      <c r="F214" s="13">
        <f t="shared" si="17"/>
        <v>11.492566808892875</v>
      </c>
      <c r="G214" s="13">
        <f t="shared" si="18"/>
        <v>132.07909185686614</v>
      </c>
      <c r="H214" s="5">
        <f t="shared" si="19"/>
        <v>0.2298513361778575</v>
      </c>
    </row>
    <row r="215" spans="1:8" ht="15.75" customHeight="1">
      <c r="A215" s="4">
        <v>214</v>
      </c>
      <c r="B215" s="3">
        <v>21764</v>
      </c>
      <c r="C215" s="4">
        <v>39</v>
      </c>
      <c r="D215" s="13">
        <f t="shared" si="16"/>
        <v>42.572443074554016</v>
      </c>
      <c r="E215" s="13">
        <f t="shared" si="15"/>
        <v>0.49256680889287452</v>
      </c>
      <c r="F215" s="13">
        <f t="shared" si="17"/>
        <v>0.49256680889287452</v>
      </c>
      <c r="G215" s="13">
        <f t="shared" si="18"/>
        <v>0.24262206122290958</v>
      </c>
      <c r="H215" s="5">
        <f t="shared" si="19"/>
        <v>1.2629918176740373E-2</v>
      </c>
    </row>
    <row r="216" spans="1:8" ht="15.75" customHeight="1">
      <c r="A216" s="4">
        <v>215</v>
      </c>
      <c r="B216" s="3">
        <v>21765</v>
      </c>
      <c r="C216" s="4">
        <v>41</v>
      </c>
      <c r="D216" s="13">
        <f t="shared" si="16"/>
        <v>42.591527627997429</v>
      </c>
      <c r="E216" s="13">
        <f t="shared" si="15"/>
        <v>2.4925668088928745</v>
      </c>
      <c r="F216" s="13">
        <f t="shared" si="17"/>
        <v>2.4925668088928745</v>
      </c>
      <c r="G216" s="13">
        <f t="shared" si="18"/>
        <v>6.2128892967944074</v>
      </c>
      <c r="H216" s="5">
        <f t="shared" si="19"/>
        <v>6.079431241202133E-2</v>
      </c>
    </row>
    <row r="217" spans="1:8" ht="15.75" customHeight="1">
      <c r="A217" s="4">
        <v>216</v>
      </c>
      <c r="B217" s="3">
        <v>21766</v>
      </c>
      <c r="C217" s="4">
        <v>46</v>
      </c>
      <c r="D217" s="13">
        <f t="shared" si="16"/>
        <v>42.610612181440843</v>
      </c>
      <c r="E217" s="13">
        <f t="shared" si="15"/>
        <v>7.4925668088928745</v>
      </c>
      <c r="F217" s="13">
        <f t="shared" si="17"/>
        <v>7.4925668088928745</v>
      </c>
      <c r="G217" s="13">
        <f t="shared" si="18"/>
        <v>56.138557385723153</v>
      </c>
      <c r="H217" s="5">
        <f t="shared" si="19"/>
        <v>0.16288188714984511</v>
      </c>
    </row>
    <row r="218" spans="1:8" ht="15.75" customHeight="1">
      <c r="A218" s="4">
        <v>217</v>
      </c>
      <c r="B218" s="3">
        <v>21767</v>
      </c>
      <c r="C218" s="4">
        <v>64</v>
      </c>
      <c r="D218" s="13">
        <f t="shared" si="16"/>
        <v>42.629696734884249</v>
      </c>
      <c r="E218" s="13">
        <f t="shared" si="15"/>
        <v>25.492566808892875</v>
      </c>
      <c r="F218" s="13">
        <f t="shared" si="17"/>
        <v>25.492566808892875</v>
      </c>
      <c r="G218" s="13">
        <f t="shared" si="18"/>
        <v>649.8709625058666</v>
      </c>
      <c r="H218" s="5">
        <f t="shared" si="19"/>
        <v>0.39832135638895116</v>
      </c>
    </row>
    <row r="219" spans="1:8" ht="15.75" customHeight="1">
      <c r="A219" s="4">
        <v>218</v>
      </c>
      <c r="B219" s="3">
        <v>21768</v>
      </c>
      <c r="C219" s="4">
        <v>45</v>
      </c>
      <c r="D219" s="13">
        <f t="shared" si="16"/>
        <v>42.648781288327662</v>
      </c>
      <c r="E219" s="13">
        <f t="shared" si="15"/>
        <v>6.4925668088928745</v>
      </c>
      <c r="F219" s="13">
        <f t="shared" si="17"/>
        <v>6.4925668088928745</v>
      </c>
      <c r="G219" s="13">
        <f t="shared" si="18"/>
        <v>42.153423767937404</v>
      </c>
      <c r="H219" s="5">
        <f t="shared" si="19"/>
        <v>0.14427926241984165</v>
      </c>
    </row>
    <row r="220" spans="1:8" ht="15.75" customHeight="1">
      <c r="A220" s="4">
        <v>219</v>
      </c>
      <c r="B220" s="3">
        <v>21769</v>
      </c>
      <c r="C220" s="4">
        <v>34</v>
      </c>
      <c r="D220" s="13">
        <f t="shared" si="16"/>
        <v>42.667865841771075</v>
      </c>
      <c r="E220" s="13">
        <f t="shared" si="15"/>
        <v>-4.5074331911071255</v>
      </c>
      <c r="F220" s="13">
        <f t="shared" si="17"/>
        <v>4.5074331911071255</v>
      </c>
      <c r="G220" s="13">
        <f t="shared" si="18"/>
        <v>20.316953972294165</v>
      </c>
      <c r="H220" s="5">
        <f t="shared" si="19"/>
        <v>0.13257156444432722</v>
      </c>
    </row>
    <row r="221" spans="1:8" ht="15.75" customHeight="1">
      <c r="A221" s="4">
        <v>220</v>
      </c>
      <c r="B221" s="3">
        <v>21770</v>
      </c>
      <c r="C221" s="4">
        <v>38</v>
      </c>
      <c r="D221" s="13">
        <f t="shared" si="16"/>
        <v>42.686950395214488</v>
      </c>
      <c r="E221" s="13">
        <f t="shared" si="15"/>
        <v>-0.50743319110712548</v>
      </c>
      <c r="F221" s="13">
        <f t="shared" si="17"/>
        <v>0.50743319110712548</v>
      </c>
      <c r="G221" s="13">
        <f t="shared" si="18"/>
        <v>0.25748844343716054</v>
      </c>
      <c r="H221" s="5">
        <f t="shared" si="19"/>
        <v>1.3353505029134882E-2</v>
      </c>
    </row>
    <row r="222" spans="1:8" ht="15.75" customHeight="1">
      <c r="A222" s="4">
        <v>221</v>
      </c>
      <c r="B222" s="3">
        <v>21771</v>
      </c>
      <c r="C222" s="4">
        <v>44</v>
      </c>
      <c r="D222" s="13">
        <f t="shared" si="16"/>
        <v>42.706034948657901</v>
      </c>
      <c r="E222" s="13">
        <f t="shared" si="15"/>
        <v>5.4925668088928745</v>
      </c>
      <c r="F222" s="13">
        <f t="shared" si="17"/>
        <v>5.4925668088928745</v>
      </c>
      <c r="G222" s="13">
        <f t="shared" si="18"/>
        <v>30.168290150151655</v>
      </c>
      <c r="H222" s="5">
        <f t="shared" si="19"/>
        <v>0.12483106383847442</v>
      </c>
    </row>
    <row r="223" spans="1:8" ht="15.75" customHeight="1">
      <c r="A223" s="4">
        <v>222</v>
      </c>
      <c r="B223" s="3">
        <v>21772</v>
      </c>
      <c r="C223" s="4">
        <v>48</v>
      </c>
      <c r="D223" s="13">
        <f t="shared" si="16"/>
        <v>42.725119502101315</v>
      </c>
      <c r="E223" s="13">
        <f t="shared" si="15"/>
        <v>9.4925668088928745</v>
      </c>
      <c r="F223" s="13">
        <f t="shared" si="17"/>
        <v>9.4925668088928745</v>
      </c>
      <c r="G223" s="13">
        <f t="shared" si="18"/>
        <v>90.108824621294644</v>
      </c>
      <c r="H223" s="5">
        <f t="shared" si="19"/>
        <v>0.19776180851860156</v>
      </c>
    </row>
    <row r="224" spans="1:8" ht="15.75" customHeight="1">
      <c r="A224" s="4">
        <v>223</v>
      </c>
      <c r="B224" s="3">
        <v>21773</v>
      </c>
      <c r="C224" s="4">
        <v>46</v>
      </c>
      <c r="D224" s="13">
        <f t="shared" si="16"/>
        <v>42.744204055544728</v>
      </c>
      <c r="E224" s="13">
        <f t="shared" si="15"/>
        <v>7.4925668088928745</v>
      </c>
      <c r="F224" s="13">
        <f t="shared" si="17"/>
        <v>7.4925668088928745</v>
      </c>
      <c r="G224" s="13">
        <f t="shared" si="18"/>
        <v>56.138557385723153</v>
      </c>
      <c r="H224" s="5">
        <f t="shared" si="19"/>
        <v>0.16288188714984511</v>
      </c>
    </row>
    <row r="225" spans="1:8" ht="15.75" customHeight="1">
      <c r="A225" s="4">
        <v>224</v>
      </c>
      <c r="B225" s="3">
        <v>21774</v>
      </c>
      <c r="C225" s="4">
        <v>44</v>
      </c>
      <c r="D225" s="13">
        <f t="shared" si="16"/>
        <v>42.763288608988141</v>
      </c>
      <c r="E225" s="13">
        <f t="shared" si="15"/>
        <v>5.4925668088928745</v>
      </c>
      <c r="F225" s="13">
        <f t="shared" si="17"/>
        <v>5.4925668088928745</v>
      </c>
      <c r="G225" s="13">
        <f t="shared" si="18"/>
        <v>30.168290150151655</v>
      </c>
      <c r="H225" s="5">
        <f t="shared" si="19"/>
        <v>0.12483106383847442</v>
      </c>
    </row>
    <row r="226" spans="1:8" ht="15.75" customHeight="1">
      <c r="A226" s="4">
        <v>225</v>
      </c>
      <c r="B226" s="3">
        <v>21775</v>
      </c>
      <c r="C226" s="4">
        <v>37</v>
      </c>
      <c r="D226" s="13">
        <f t="shared" si="16"/>
        <v>42.782373162431554</v>
      </c>
      <c r="E226" s="13">
        <f t="shared" si="15"/>
        <v>-1.5074331911071255</v>
      </c>
      <c r="F226" s="13">
        <f t="shared" si="17"/>
        <v>1.5074331911071255</v>
      </c>
      <c r="G226" s="13">
        <f t="shared" si="18"/>
        <v>2.2723548256514117</v>
      </c>
      <c r="H226" s="5">
        <f t="shared" si="19"/>
        <v>4.0741437597489875E-2</v>
      </c>
    </row>
    <row r="227" spans="1:8" ht="15.75" customHeight="1">
      <c r="A227" s="4">
        <v>226</v>
      </c>
      <c r="B227" s="3">
        <v>21776</v>
      </c>
      <c r="C227" s="4">
        <v>39</v>
      </c>
      <c r="D227" s="13">
        <f t="shared" si="16"/>
        <v>42.801457715874967</v>
      </c>
      <c r="E227" s="13">
        <f t="shared" si="15"/>
        <v>0.49256680889287452</v>
      </c>
      <c r="F227" s="13">
        <f t="shared" si="17"/>
        <v>0.49256680889287452</v>
      </c>
      <c r="G227" s="13">
        <f t="shared" si="18"/>
        <v>0.24262206122290958</v>
      </c>
      <c r="H227" s="5">
        <f t="shared" si="19"/>
        <v>1.2629918176740373E-2</v>
      </c>
    </row>
    <row r="228" spans="1:8" ht="15.75" customHeight="1">
      <c r="A228" s="4">
        <v>227</v>
      </c>
      <c r="B228" s="3">
        <v>21777</v>
      </c>
      <c r="C228" s="4">
        <v>44</v>
      </c>
      <c r="D228" s="13">
        <f t="shared" si="16"/>
        <v>42.820542269318381</v>
      </c>
      <c r="E228" s="13">
        <f t="shared" si="15"/>
        <v>5.4925668088928745</v>
      </c>
      <c r="F228" s="13">
        <f t="shared" si="17"/>
        <v>5.4925668088928745</v>
      </c>
      <c r="G228" s="13">
        <f t="shared" si="18"/>
        <v>30.168290150151655</v>
      </c>
      <c r="H228" s="5">
        <f t="shared" si="19"/>
        <v>0.12483106383847442</v>
      </c>
    </row>
    <row r="229" spans="1:8" ht="15.75" customHeight="1">
      <c r="A229" s="4">
        <v>228</v>
      </c>
      <c r="B229" s="3">
        <v>21778</v>
      </c>
      <c r="C229" s="4">
        <v>45</v>
      </c>
      <c r="D229" s="13">
        <f t="shared" si="16"/>
        <v>42.839626822761794</v>
      </c>
      <c r="E229" s="13">
        <f t="shared" si="15"/>
        <v>6.4925668088928745</v>
      </c>
      <c r="F229" s="13">
        <f t="shared" si="17"/>
        <v>6.4925668088928745</v>
      </c>
      <c r="G229" s="13">
        <f t="shared" si="18"/>
        <v>42.153423767937404</v>
      </c>
      <c r="H229" s="5">
        <f t="shared" si="19"/>
        <v>0.14427926241984165</v>
      </c>
    </row>
    <row r="230" spans="1:8" ht="15.75" customHeight="1">
      <c r="A230" s="4">
        <v>229</v>
      </c>
      <c r="B230" s="3">
        <v>21779</v>
      </c>
      <c r="C230" s="4">
        <v>33</v>
      </c>
      <c r="D230" s="13">
        <f t="shared" si="16"/>
        <v>42.858711376205207</v>
      </c>
      <c r="E230" s="13">
        <f t="shared" si="15"/>
        <v>-5.5074331911071255</v>
      </c>
      <c r="F230" s="13">
        <f t="shared" si="17"/>
        <v>5.5074331911071255</v>
      </c>
      <c r="G230" s="13">
        <f t="shared" si="18"/>
        <v>30.331820354508416</v>
      </c>
      <c r="H230" s="5">
        <f t="shared" si="19"/>
        <v>0.16689191488203411</v>
      </c>
    </row>
    <row r="231" spans="1:8" ht="15.75" customHeight="1">
      <c r="A231" s="4">
        <v>230</v>
      </c>
      <c r="B231" s="3">
        <v>21780</v>
      </c>
      <c r="C231" s="4">
        <v>44</v>
      </c>
      <c r="D231" s="13">
        <f t="shared" si="16"/>
        <v>42.877795929648613</v>
      </c>
      <c r="E231" s="13">
        <f t="shared" si="15"/>
        <v>5.4925668088928745</v>
      </c>
      <c r="F231" s="13">
        <f t="shared" si="17"/>
        <v>5.4925668088928745</v>
      </c>
      <c r="G231" s="13">
        <f t="shared" si="18"/>
        <v>30.168290150151655</v>
      </c>
      <c r="H231" s="5">
        <f t="shared" si="19"/>
        <v>0.12483106383847442</v>
      </c>
    </row>
    <row r="232" spans="1:8" ht="15.75" customHeight="1">
      <c r="A232" s="4">
        <v>231</v>
      </c>
      <c r="B232" s="3">
        <v>21781</v>
      </c>
      <c r="C232" s="4">
        <v>38</v>
      </c>
      <c r="D232" s="13">
        <f t="shared" si="16"/>
        <v>42.896880483092026</v>
      </c>
      <c r="E232" s="13">
        <f t="shared" si="15"/>
        <v>-0.50743319110712548</v>
      </c>
      <c r="F232" s="13">
        <f t="shared" si="17"/>
        <v>0.50743319110712548</v>
      </c>
      <c r="G232" s="13">
        <f t="shared" si="18"/>
        <v>0.25748844343716054</v>
      </c>
      <c r="H232" s="5">
        <f t="shared" si="19"/>
        <v>1.3353505029134882E-2</v>
      </c>
    </row>
    <row r="233" spans="1:8" ht="15.75" customHeight="1">
      <c r="A233" s="4">
        <v>232</v>
      </c>
      <c r="B233" s="3">
        <v>21782</v>
      </c>
      <c r="C233" s="4">
        <v>46</v>
      </c>
      <c r="D233" s="13">
        <f t="shared" si="16"/>
        <v>42.915965036535439</v>
      </c>
      <c r="E233" s="13">
        <f t="shared" si="15"/>
        <v>7.4925668088928745</v>
      </c>
      <c r="F233" s="13">
        <f t="shared" si="17"/>
        <v>7.4925668088928745</v>
      </c>
      <c r="G233" s="13">
        <f t="shared" si="18"/>
        <v>56.138557385723153</v>
      </c>
      <c r="H233" s="5">
        <f t="shared" si="19"/>
        <v>0.16288188714984511</v>
      </c>
    </row>
    <row r="234" spans="1:8" ht="15.75" customHeight="1">
      <c r="A234" s="4">
        <v>233</v>
      </c>
      <c r="B234" s="3">
        <v>21783</v>
      </c>
      <c r="C234" s="4">
        <v>46</v>
      </c>
      <c r="D234" s="13">
        <f t="shared" si="16"/>
        <v>42.935049589978853</v>
      </c>
      <c r="E234" s="13">
        <f t="shared" si="15"/>
        <v>7.4925668088928745</v>
      </c>
      <c r="F234" s="13">
        <f t="shared" si="17"/>
        <v>7.4925668088928745</v>
      </c>
      <c r="G234" s="13">
        <f t="shared" si="18"/>
        <v>56.138557385723153</v>
      </c>
      <c r="H234" s="5">
        <f t="shared" si="19"/>
        <v>0.16288188714984511</v>
      </c>
    </row>
    <row r="235" spans="1:8" ht="15.75" customHeight="1">
      <c r="A235" s="4">
        <v>234</v>
      </c>
      <c r="B235" s="3">
        <v>21784</v>
      </c>
      <c r="C235" s="4">
        <v>40</v>
      </c>
      <c r="D235" s="13">
        <f t="shared" si="16"/>
        <v>42.954134143422266</v>
      </c>
      <c r="E235" s="13">
        <f t="shared" si="15"/>
        <v>1.4925668088928745</v>
      </c>
      <c r="F235" s="13">
        <f t="shared" si="17"/>
        <v>1.4925668088928745</v>
      </c>
      <c r="G235" s="13">
        <f t="shared" si="18"/>
        <v>2.2277556790086588</v>
      </c>
      <c r="H235" s="5">
        <f t="shared" si="19"/>
        <v>3.7314170222321863E-2</v>
      </c>
    </row>
    <row r="236" spans="1:8" ht="15.75" customHeight="1">
      <c r="A236" s="4">
        <v>235</v>
      </c>
      <c r="B236" s="3">
        <v>21785</v>
      </c>
      <c r="C236" s="4">
        <v>39</v>
      </c>
      <c r="D236" s="13">
        <f t="shared" si="16"/>
        <v>42.973218696865679</v>
      </c>
      <c r="E236" s="13">
        <f t="shared" si="15"/>
        <v>0.49256680889287452</v>
      </c>
      <c r="F236" s="13">
        <f t="shared" si="17"/>
        <v>0.49256680889287452</v>
      </c>
      <c r="G236" s="13">
        <f t="shared" si="18"/>
        <v>0.24262206122290958</v>
      </c>
      <c r="H236" s="5">
        <f t="shared" si="19"/>
        <v>1.2629918176740373E-2</v>
      </c>
    </row>
    <row r="237" spans="1:8" ht="15.75" customHeight="1">
      <c r="A237" s="4">
        <v>236</v>
      </c>
      <c r="B237" s="3">
        <v>21786</v>
      </c>
      <c r="C237" s="4">
        <v>44</v>
      </c>
      <c r="D237" s="13">
        <f t="shared" si="16"/>
        <v>42.992303250309092</v>
      </c>
      <c r="E237" s="13">
        <f t="shared" si="15"/>
        <v>5.4925668088928745</v>
      </c>
      <c r="F237" s="13">
        <f t="shared" si="17"/>
        <v>5.4925668088928745</v>
      </c>
      <c r="G237" s="13">
        <f t="shared" si="18"/>
        <v>30.168290150151655</v>
      </c>
      <c r="H237" s="5">
        <f t="shared" si="19"/>
        <v>0.12483106383847442</v>
      </c>
    </row>
    <row r="238" spans="1:8" ht="15.75" customHeight="1">
      <c r="A238" s="4">
        <v>237</v>
      </c>
      <c r="B238" s="3">
        <v>21787</v>
      </c>
      <c r="C238" s="4">
        <v>48</v>
      </c>
      <c r="D238" s="13">
        <f t="shared" si="16"/>
        <v>43.011387803752505</v>
      </c>
      <c r="E238" s="13">
        <f t="shared" si="15"/>
        <v>9.4925668088928745</v>
      </c>
      <c r="F238" s="13">
        <f t="shared" si="17"/>
        <v>9.4925668088928745</v>
      </c>
      <c r="G238" s="13">
        <f t="shared" si="18"/>
        <v>90.108824621294644</v>
      </c>
      <c r="H238" s="5">
        <f t="shared" si="19"/>
        <v>0.19776180851860156</v>
      </c>
    </row>
    <row r="239" spans="1:8" ht="15.75" customHeight="1">
      <c r="A239" s="4">
        <v>238</v>
      </c>
      <c r="B239" s="3">
        <v>21788</v>
      </c>
      <c r="C239" s="4">
        <v>50</v>
      </c>
      <c r="D239" s="13">
        <f t="shared" si="16"/>
        <v>43.030472357195919</v>
      </c>
      <c r="E239" s="13">
        <f t="shared" si="15"/>
        <v>11.492566808892875</v>
      </c>
      <c r="F239" s="13">
        <f t="shared" si="17"/>
        <v>11.492566808892875</v>
      </c>
      <c r="G239" s="13">
        <f t="shared" si="18"/>
        <v>132.07909185686614</v>
      </c>
      <c r="H239" s="5">
        <f t="shared" si="19"/>
        <v>0.2298513361778575</v>
      </c>
    </row>
    <row r="240" spans="1:8" ht="15.75" customHeight="1">
      <c r="A240" s="4">
        <v>239</v>
      </c>
      <c r="B240" s="3">
        <v>21789</v>
      </c>
      <c r="C240" s="4">
        <v>41</v>
      </c>
      <c r="D240" s="13">
        <f t="shared" si="16"/>
        <v>43.049556910639332</v>
      </c>
      <c r="E240" s="13">
        <f t="shared" si="15"/>
        <v>2.4925668088928745</v>
      </c>
      <c r="F240" s="13">
        <f t="shared" si="17"/>
        <v>2.4925668088928745</v>
      </c>
      <c r="G240" s="13">
        <f t="shared" si="18"/>
        <v>6.2128892967944074</v>
      </c>
      <c r="H240" s="5">
        <f t="shared" si="19"/>
        <v>6.079431241202133E-2</v>
      </c>
    </row>
    <row r="241" spans="1:8" ht="15.75" customHeight="1">
      <c r="A241" s="4">
        <v>240</v>
      </c>
      <c r="B241" s="3">
        <v>21790</v>
      </c>
      <c r="C241" s="4">
        <v>42</v>
      </c>
      <c r="D241" s="13">
        <f t="shared" si="16"/>
        <v>43.068641464082745</v>
      </c>
      <c r="E241" s="13">
        <f t="shared" si="15"/>
        <v>3.4925668088928745</v>
      </c>
      <c r="F241" s="13">
        <f t="shared" si="17"/>
        <v>3.4925668088928745</v>
      </c>
      <c r="G241" s="13">
        <f t="shared" si="18"/>
        <v>12.198022914580157</v>
      </c>
      <c r="H241" s="5">
        <f t="shared" si="19"/>
        <v>8.3156352592687485E-2</v>
      </c>
    </row>
    <row r="242" spans="1:8" ht="15.75" customHeight="1">
      <c r="A242" s="4">
        <v>241</v>
      </c>
      <c r="B242" s="3">
        <v>21791</v>
      </c>
      <c r="C242" s="4">
        <v>51</v>
      </c>
      <c r="D242" s="13">
        <f t="shared" si="16"/>
        <v>43.087726017526158</v>
      </c>
      <c r="E242" s="13">
        <f t="shared" si="15"/>
        <v>12.492566808892875</v>
      </c>
      <c r="F242" s="13">
        <f t="shared" si="17"/>
        <v>12.492566808892875</v>
      </c>
      <c r="G242" s="13">
        <f t="shared" si="18"/>
        <v>156.06422547465189</v>
      </c>
      <c r="H242" s="5">
        <f t="shared" si="19"/>
        <v>0.24495229037044852</v>
      </c>
    </row>
    <row r="243" spans="1:8" ht="15.75" customHeight="1">
      <c r="A243" s="4">
        <v>242</v>
      </c>
      <c r="B243" s="3">
        <v>21792</v>
      </c>
      <c r="C243" s="4">
        <v>41</v>
      </c>
      <c r="D243" s="13">
        <f t="shared" si="16"/>
        <v>43.106810570969571</v>
      </c>
      <c r="E243" s="13">
        <f t="shared" si="15"/>
        <v>2.4925668088928745</v>
      </c>
      <c r="F243" s="13">
        <f t="shared" si="17"/>
        <v>2.4925668088928745</v>
      </c>
      <c r="G243" s="13">
        <f t="shared" si="18"/>
        <v>6.2128892967944074</v>
      </c>
      <c r="H243" s="5">
        <f t="shared" si="19"/>
        <v>6.079431241202133E-2</v>
      </c>
    </row>
    <row r="244" spans="1:8" ht="15.75" customHeight="1">
      <c r="A244" s="4">
        <v>243</v>
      </c>
      <c r="B244" s="3">
        <v>21793</v>
      </c>
      <c r="C244" s="4">
        <v>44</v>
      </c>
      <c r="D244" s="13">
        <f t="shared" si="16"/>
        <v>43.125895124412978</v>
      </c>
      <c r="E244" s="13">
        <f t="shared" si="15"/>
        <v>5.4925668088928745</v>
      </c>
      <c r="F244" s="13">
        <f t="shared" si="17"/>
        <v>5.4925668088928745</v>
      </c>
      <c r="G244" s="13">
        <f t="shared" si="18"/>
        <v>30.168290150151655</v>
      </c>
      <c r="H244" s="5">
        <f t="shared" si="19"/>
        <v>0.12483106383847442</v>
      </c>
    </row>
    <row r="245" spans="1:8" ht="15.75" customHeight="1">
      <c r="A245" s="4">
        <v>244</v>
      </c>
      <c r="B245" s="3">
        <v>21794</v>
      </c>
      <c r="C245" s="4">
        <v>38</v>
      </c>
      <c r="D245" s="13">
        <f t="shared" si="16"/>
        <v>43.144979677856391</v>
      </c>
      <c r="E245" s="13">
        <f t="shared" si="15"/>
        <v>-0.50743319110712548</v>
      </c>
      <c r="F245" s="13">
        <f t="shared" si="17"/>
        <v>0.50743319110712548</v>
      </c>
      <c r="G245" s="13">
        <f t="shared" si="18"/>
        <v>0.25748844343716054</v>
      </c>
      <c r="H245" s="5">
        <f t="shared" si="19"/>
        <v>1.3353505029134882E-2</v>
      </c>
    </row>
    <row r="246" spans="1:8" ht="15.75" customHeight="1">
      <c r="A246" s="4">
        <v>245</v>
      </c>
      <c r="B246" s="3">
        <v>21795</v>
      </c>
      <c r="C246" s="4">
        <v>68</v>
      </c>
      <c r="D246" s="13">
        <f t="shared" si="16"/>
        <v>43.164064231299804</v>
      </c>
      <c r="E246" s="13">
        <f t="shared" si="15"/>
        <v>29.492566808892875</v>
      </c>
      <c r="F246" s="13">
        <f t="shared" si="17"/>
        <v>29.492566808892875</v>
      </c>
      <c r="G246" s="13">
        <f t="shared" si="18"/>
        <v>869.8114969770096</v>
      </c>
      <c r="H246" s="5">
        <f t="shared" si="19"/>
        <v>0.43371421777783636</v>
      </c>
    </row>
    <row r="247" spans="1:8" ht="15.75" customHeight="1">
      <c r="A247" s="4">
        <v>246</v>
      </c>
      <c r="B247" s="3">
        <v>21796</v>
      </c>
      <c r="C247" s="4">
        <v>40</v>
      </c>
      <c r="D247" s="13">
        <f t="shared" si="16"/>
        <v>43.183148784743217</v>
      </c>
      <c r="E247" s="13">
        <f t="shared" si="15"/>
        <v>1.4925668088928745</v>
      </c>
      <c r="F247" s="13">
        <f t="shared" si="17"/>
        <v>1.4925668088928745</v>
      </c>
      <c r="G247" s="13">
        <f t="shared" si="18"/>
        <v>2.2277556790086588</v>
      </c>
      <c r="H247" s="5">
        <f t="shared" si="19"/>
        <v>3.7314170222321863E-2</v>
      </c>
    </row>
    <row r="248" spans="1:8" ht="15.75" customHeight="1">
      <c r="A248" s="4">
        <v>247</v>
      </c>
      <c r="B248" s="3">
        <v>21797</v>
      </c>
      <c r="C248" s="4">
        <v>42</v>
      </c>
      <c r="D248" s="13">
        <f t="shared" si="16"/>
        <v>43.20223333818663</v>
      </c>
      <c r="E248" s="13">
        <f t="shared" si="15"/>
        <v>3.4925668088928745</v>
      </c>
      <c r="F248" s="13">
        <f t="shared" si="17"/>
        <v>3.4925668088928745</v>
      </c>
      <c r="G248" s="13">
        <f t="shared" si="18"/>
        <v>12.198022914580157</v>
      </c>
      <c r="H248" s="5">
        <f t="shared" si="19"/>
        <v>8.3156352592687485E-2</v>
      </c>
    </row>
    <row r="249" spans="1:8" ht="15.75" customHeight="1">
      <c r="A249" s="4">
        <v>248</v>
      </c>
      <c r="B249" s="3">
        <v>21798</v>
      </c>
      <c r="C249" s="4">
        <v>51</v>
      </c>
      <c r="D249" s="13">
        <f t="shared" si="16"/>
        <v>43.221317891630044</v>
      </c>
      <c r="E249" s="13">
        <f t="shared" si="15"/>
        <v>12.492566808892875</v>
      </c>
      <c r="F249" s="13">
        <f t="shared" si="17"/>
        <v>12.492566808892875</v>
      </c>
      <c r="G249" s="13">
        <f t="shared" si="18"/>
        <v>156.06422547465189</v>
      </c>
      <c r="H249" s="5">
        <f t="shared" si="19"/>
        <v>0.24495229037044852</v>
      </c>
    </row>
    <row r="250" spans="1:8" ht="15.75" customHeight="1">
      <c r="A250" s="4">
        <v>249</v>
      </c>
      <c r="B250" s="3">
        <v>21799</v>
      </c>
      <c r="C250" s="4">
        <v>44</v>
      </c>
      <c r="D250" s="13">
        <f t="shared" si="16"/>
        <v>43.240402445073457</v>
      </c>
      <c r="E250" s="13">
        <f t="shared" si="15"/>
        <v>5.4925668088928745</v>
      </c>
      <c r="F250" s="13">
        <f t="shared" si="17"/>
        <v>5.4925668088928745</v>
      </c>
      <c r="G250" s="13">
        <f t="shared" si="18"/>
        <v>30.168290150151655</v>
      </c>
      <c r="H250" s="5">
        <f t="shared" si="19"/>
        <v>0.12483106383847442</v>
      </c>
    </row>
    <row r="251" spans="1:8" ht="15.75" customHeight="1">
      <c r="A251" s="4">
        <v>250</v>
      </c>
      <c r="B251" s="3">
        <v>21800</v>
      </c>
      <c r="C251" s="4">
        <v>45</v>
      </c>
      <c r="D251" s="13">
        <f t="shared" si="16"/>
        <v>43.25948699851687</v>
      </c>
      <c r="E251" s="13">
        <f t="shared" si="15"/>
        <v>6.4925668088928745</v>
      </c>
      <c r="F251" s="13">
        <f t="shared" si="17"/>
        <v>6.4925668088928745</v>
      </c>
      <c r="G251" s="13">
        <f t="shared" si="18"/>
        <v>42.153423767937404</v>
      </c>
      <c r="H251" s="5">
        <f t="shared" si="19"/>
        <v>0.14427926241984165</v>
      </c>
    </row>
    <row r="252" spans="1:8" ht="15.75" customHeight="1">
      <c r="A252" s="4">
        <v>251</v>
      </c>
      <c r="B252" s="3">
        <v>21801</v>
      </c>
      <c r="C252" s="4">
        <v>36</v>
      </c>
      <c r="D252" s="13">
        <f t="shared" si="16"/>
        <v>43.278571551960283</v>
      </c>
      <c r="E252" s="13">
        <f t="shared" si="15"/>
        <v>-2.5074331911071255</v>
      </c>
      <c r="F252" s="13">
        <f t="shared" si="17"/>
        <v>2.5074331911071255</v>
      </c>
      <c r="G252" s="13">
        <f t="shared" si="18"/>
        <v>6.2872212078656622</v>
      </c>
      <c r="H252" s="5">
        <f t="shared" si="19"/>
        <v>6.9650921975197927E-2</v>
      </c>
    </row>
    <row r="253" spans="1:8" ht="15.75" customHeight="1">
      <c r="A253" s="4">
        <v>252</v>
      </c>
      <c r="B253" s="3">
        <v>21802</v>
      </c>
      <c r="C253" s="4">
        <v>57</v>
      </c>
      <c r="D253" s="13">
        <f t="shared" si="16"/>
        <v>43.297656105403696</v>
      </c>
      <c r="E253" s="13">
        <f t="shared" si="15"/>
        <v>18.492566808892875</v>
      </c>
      <c r="F253" s="13">
        <f t="shared" si="17"/>
        <v>18.492566808892875</v>
      </c>
      <c r="G253" s="13">
        <f t="shared" si="18"/>
        <v>341.97502718136639</v>
      </c>
      <c r="H253" s="5">
        <f t="shared" si="19"/>
        <v>0.3244309966472434</v>
      </c>
    </row>
    <row r="254" spans="1:8" ht="15.75" customHeight="1">
      <c r="A254" s="4">
        <v>253</v>
      </c>
      <c r="B254" s="3">
        <v>21803</v>
      </c>
      <c r="C254" s="4">
        <v>44</v>
      </c>
      <c r="D254" s="13">
        <f t="shared" si="16"/>
        <v>43.31674065884711</v>
      </c>
      <c r="E254" s="13">
        <f t="shared" si="15"/>
        <v>5.4925668088928745</v>
      </c>
      <c r="F254" s="13">
        <f t="shared" si="17"/>
        <v>5.4925668088928745</v>
      </c>
      <c r="G254" s="13">
        <f t="shared" si="18"/>
        <v>30.168290150151655</v>
      </c>
      <c r="H254" s="5">
        <f t="shared" si="19"/>
        <v>0.12483106383847442</v>
      </c>
    </row>
    <row r="255" spans="1:8" ht="15.75" customHeight="1">
      <c r="A255" s="4">
        <v>254</v>
      </c>
      <c r="B255" s="3">
        <v>21804</v>
      </c>
      <c r="C255" s="4">
        <v>42</v>
      </c>
      <c r="D255" s="13">
        <f t="shared" si="16"/>
        <v>43.335825212290516</v>
      </c>
      <c r="E255" s="13">
        <f t="shared" si="15"/>
        <v>3.4925668088928745</v>
      </c>
      <c r="F255" s="13">
        <f t="shared" si="17"/>
        <v>3.4925668088928745</v>
      </c>
      <c r="G255" s="13">
        <f t="shared" si="18"/>
        <v>12.198022914580157</v>
      </c>
      <c r="H255" s="5">
        <f t="shared" si="19"/>
        <v>8.3156352592687485E-2</v>
      </c>
    </row>
    <row r="256" spans="1:8" ht="15.75" customHeight="1">
      <c r="A256" s="4">
        <v>255</v>
      </c>
      <c r="B256" s="3">
        <v>21805</v>
      </c>
      <c r="C256" s="4">
        <v>53</v>
      </c>
      <c r="D256" s="13">
        <f t="shared" si="16"/>
        <v>43.354909765733936</v>
      </c>
      <c r="E256" s="13">
        <f t="shared" si="15"/>
        <v>14.492566808892875</v>
      </c>
      <c r="F256" s="13">
        <f t="shared" si="17"/>
        <v>14.492566808892875</v>
      </c>
      <c r="G256" s="13">
        <f t="shared" si="18"/>
        <v>210.03449271022339</v>
      </c>
      <c r="H256" s="5">
        <f t="shared" si="19"/>
        <v>0.27344465677156365</v>
      </c>
    </row>
    <row r="257" spans="1:8" ht="15.75" customHeight="1">
      <c r="A257" s="4">
        <v>256</v>
      </c>
      <c r="B257" s="3">
        <v>21806</v>
      </c>
      <c r="C257" s="4">
        <v>42</v>
      </c>
      <c r="D257" s="13">
        <f t="shared" si="16"/>
        <v>43.373994319177342</v>
      </c>
      <c r="E257" s="13">
        <f t="shared" si="15"/>
        <v>3.4925668088928745</v>
      </c>
      <c r="F257" s="13">
        <f t="shared" si="17"/>
        <v>3.4925668088928745</v>
      </c>
      <c r="G257" s="13">
        <f t="shared" si="18"/>
        <v>12.198022914580157</v>
      </c>
      <c r="H257" s="5">
        <f t="shared" si="19"/>
        <v>8.3156352592687485E-2</v>
      </c>
    </row>
    <row r="258" spans="1:8" ht="15.75" customHeight="1">
      <c r="A258" s="4">
        <v>257</v>
      </c>
      <c r="B258" s="3">
        <v>21807</v>
      </c>
      <c r="C258" s="4">
        <v>34</v>
      </c>
      <c r="D258" s="13">
        <f t="shared" si="16"/>
        <v>43.393078872620755</v>
      </c>
      <c r="E258" s="13">
        <f t="shared" ref="E258:E321" si="20">C258-solver_opt</f>
        <v>-4.5074331911071255</v>
      </c>
      <c r="F258" s="13">
        <f t="shared" si="17"/>
        <v>4.5074331911071255</v>
      </c>
      <c r="G258" s="13">
        <f t="shared" si="18"/>
        <v>20.316953972294165</v>
      </c>
      <c r="H258" s="5">
        <f t="shared" si="19"/>
        <v>0.13257156444432722</v>
      </c>
    </row>
    <row r="259" spans="1:8" ht="15.75" customHeight="1">
      <c r="A259" s="4">
        <v>258</v>
      </c>
      <c r="B259" s="3">
        <v>21808</v>
      </c>
      <c r="C259" s="4">
        <v>40</v>
      </c>
      <c r="D259" s="13">
        <f t="shared" ref="D259:D322" si="21">_xlfn.FORECAST.LINEAR(A259,$C$2:$C$366,$A$2:$A$366)</f>
        <v>43.412163426064168</v>
      </c>
      <c r="E259" s="13">
        <f t="shared" si="20"/>
        <v>1.4925668088928745</v>
      </c>
      <c r="F259" s="13">
        <f t="shared" ref="F259:F322" si="22">ABS(E259)</f>
        <v>1.4925668088928745</v>
      </c>
      <c r="G259" s="13">
        <f t="shared" ref="G259:G322" si="23">F259^2</f>
        <v>2.2277556790086588</v>
      </c>
      <c r="H259" s="5">
        <f t="shared" ref="H259:H322" si="24">F259/C259</f>
        <v>3.7314170222321863E-2</v>
      </c>
    </row>
    <row r="260" spans="1:8" ht="15.75" customHeight="1">
      <c r="A260" s="4">
        <v>259</v>
      </c>
      <c r="B260" s="3">
        <v>21809</v>
      </c>
      <c r="C260" s="4">
        <v>56</v>
      </c>
      <c r="D260" s="13">
        <f t="shared" si="21"/>
        <v>43.431247979507582</v>
      </c>
      <c r="E260" s="13">
        <f t="shared" si="20"/>
        <v>17.492566808892875</v>
      </c>
      <c r="F260" s="13">
        <f t="shared" si="22"/>
        <v>17.492566808892875</v>
      </c>
      <c r="G260" s="13">
        <f t="shared" si="23"/>
        <v>305.98989356358067</v>
      </c>
      <c r="H260" s="5">
        <f t="shared" si="24"/>
        <v>0.31236726444451562</v>
      </c>
    </row>
    <row r="261" spans="1:8" ht="15.75" customHeight="1">
      <c r="A261" s="4">
        <v>260</v>
      </c>
      <c r="B261" s="3">
        <v>21810</v>
      </c>
      <c r="C261" s="4">
        <v>44</v>
      </c>
      <c r="D261" s="13">
        <f t="shared" si="21"/>
        <v>43.450332532950995</v>
      </c>
      <c r="E261" s="13">
        <f t="shared" si="20"/>
        <v>5.4925668088928745</v>
      </c>
      <c r="F261" s="13">
        <f t="shared" si="22"/>
        <v>5.4925668088928745</v>
      </c>
      <c r="G261" s="13">
        <f t="shared" si="23"/>
        <v>30.168290150151655</v>
      </c>
      <c r="H261" s="5">
        <f t="shared" si="24"/>
        <v>0.12483106383847442</v>
      </c>
    </row>
    <row r="262" spans="1:8" ht="15.75" customHeight="1">
      <c r="A262" s="4">
        <v>261</v>
      </c>
      <c r="B262" s="3">
        <v>21811</v>
      </c>
      <c r="C262" s="4">
        <v>53</v>
      </c>
      <c r="D262" s="13">
        <f t="shared" si="21"/>
        <v>43.469417086394408</v>
      </c>
      <c r="E262" s="13">
        <f t="shared" si="20"/>
        <v>14.492566808892875</v>
      </c>
      <c r="F262" s="13">
        <f t="shared" si="22"/>
        <v>14.492566808892875</v>
      </c>
      <c r="G262" s="13">
        <f t="shared" si="23"/>
        <v>210.03449271022339</v>
      </c>
      <c r="H262" s="5">
        <f t="shared" si="24"/>
        <v>0.27344465677156365</v>
      </c>
    </row>
    <row r="263" spans="1:8" ht="15.75" customHeight="1">
      <c r="A263" s="4">
        <v>262</v>
      </c>
      <c r="B263" s="3">
        <v>21812</v>
      </c>
      <c r="C263" s="4">
        <v>55</v>
      </c>
      <c r="D263" s="13">
        <f t="shared" si="21"/>
        <v>43.488501639837821</v>
      </c>
      <c r="E263" s="13">
        <f t="shared" si="20"/>
        <v>16.492566808892875</v>
      </c>
      <c r="F263" s="13">
        <f t="shared" si="22"/>
        <v>16.492566808892875</v>
      </c>
      <c r="G263" s="13">
        <f t="shared" si="23"/>
        <v>272.00475994579489</v>
      </c>
      <c r="H263" s="5">
        <f t="shared" si="24"/>
        <v>0.29986485107077954</v>
      </c>
    </row>
    <row r="264" spans="1:8" ht="15.75" customHeight="1">
      <c r="A264" s="4">
        <v>263</v>
      </c>
      <c r="B264" s="3">
        <v>21813</v>
      </c>
      <c r="C264" s="4">
        <v>39</v>
      </c>
      <c r="D264" s="13">
        <f t="shared" si="21"/>
        <v>43.507586193281234</v>
      </c>
      <c r="E264" s="13">
        <f t="shared" si="20"/>
        <v>0.49256680889287452</v>
      </c>
      <c r="F264" s="13">
        <f t="shared" si="22"/>
        <v>0.49256680889287452</v>
      </c>
      <c r="G264" s="13">
        <f t="shared" si="23"/>
        <v>0.24262206122290958</v>
      </c>
      <c r="H264" s="5">
        <f t="shared" si="24"/>
        <v>1.2629918176740373E-2</v>
      </c>
    </row>
    <row r="265" spans="1:8" ht="15.75" customHeight="1">
      <c r="A265" s="4">
        <v>264</v>
      </c>
      <c r="B265" s="3">
        <v>21814</v>
      </c>
      <c r="C265" s="4">
        <v>59</v>
      </c>
      <c r="D265" s="13">
        <f t="shared" si="21"/>
        <v>43.526670746724648</v>
      </c>
      <c r="E265" s="13">
        <f t="shared" si="20"/>
        <v>20.492566808892875</v>
      </c>
      <c r="F265" s="13">
        <f t="shared" si="22"/>
        <v>20.492566808892875</v>
      </c>
      <c r="G265" s="13">
        <f t="shared" si="23"/>
        <v>419.94529441693788</v>
      </c>
      <c r="H265" s="5">
        <f t="shared" si="24"/>
        <v>0.34733164082869278</v>
      </c>
    </row>
    <row r="266" spans="1:8" ht="15.75" customHeight="1">
      <c r="A266" s="4">
        <v>265</v>
      </c>
      <c r="B266" s="3">
        <v>21815</v>
      </c>
      <c r="C266" s="4">
        <v>55</v>
      </c>
      <c r="D266" s="13">
        <f t="shared" si="21"/>
        <v>43.545755300168061</v>
      </c>
      <c r="E266" s="13">
        <f t="shared" si="20"/>
        <v>16.492566808892875</v>
      </c>
      <c r="F266" s="13">
        <f t="shared" si="22"/>
        <v>16.492566808892875</v>
      </c>
      <c r="G266" s="13">
        <f t="shared" si="23"/>
        <v>272.00475994579489</v>
      </c>
      <c r="H266" s="5">
        <f t="shared" si="24"/>
        <v>0.29986485107077954</v>
      </c>
    </row>
    <row r="267" spans="1:8" ht="15.75" customHeight="1">
      <c r="A267" s="4">
        <v>266</v>
      </c>
      <c r="B267" s="3">
        <v>21816</v>
      </c>
      <c r="C267" s="4">
        <v>73</v>
      </c>
      <c r="D267" s="13">
        <f t="shared" si="21"/>
        <v>43.564839853611474</v>
      </c>
      <c r="E267" s="13">
        <f t="shared" si="20"/>
        <v>34.492566808892875</v>
      </c>
      <c r="F267" s="13">
        <f t="shared" si="22"/>
        <v>34.492566808892875</v>
      </c>
      <c r="G267" s="13">
        <f t="shared" si="23"/>
        <v>1189.7371650659384</v>
      </c>
      <c r="H267" s="5">
        <f t="shared" si="24"/>
        <v>0.47250091519031334</v>
      </c>
    </row>
    <row r="268" spans="1:8" ht="15.75" customHeight="1">
      <c r="A268" s="4">
        <v>267</v>
      </c>
      <c r="B268" s="3">
        <v>21817</v>
      </c>
      <c r="C268" s="4">
        <v>55</v>
      </c>
      <c r="D268" s="13">
        <f t="shared" si="21"/>
        <v>43.58392440705488</v>
      </c>
      <c r="E268" s="13">
        <f t="shared" si="20"/>
        <v>16.492566808892875</v>
      </c>
      <c r="F268" s="13">
        <f t="shared" si="22"/>
        <v>16.492566808892875</v>
      </c>
      <c r="G268" s="13">
        <f t="shared" si="23"/>
        <v>272.00475994579489</v>
      </c>
      <c r="H268" s="5">
        <f t="shared" si="24"/>
        <v>0.29986485107077954</v>
      </c>
    </row>
    <row r="269" spans="1:8" ht="15.75" customHeight="1">
      <c r="A269" s="4">
        <v>268</v>
      </c>
      <c r="B269" s="3">
        <v>21818</v>
      </c>
      <c r="C269" s="4">
        <v>44</v>
      </c>
      <c r="D269" s="13">
        <f t="shared" si="21"/>
        <v>43.603008960498293</v>
      </c>
      <c r="E269" s="13">
        <f t="shared" si="20"/>
        <v>5.4925668088928745</v>
      </c>
      <c r="F269" s="13">
        <f t="shared" si="22"/>
        <v>5.4925668088928745</v>
      </c>
      <c r="G269" s="13">
        <f t="shared" si="23"/>
        <v>30.168290150151655</v>
      </c>
      <c r="H269" s="5">
        <f t="shared" si="24"/>
        <v>0.12483106383847442</v>
      </c>
    </row>
    <row r="270" spans="1:8" ht="15.75" customHeight="1">
      <c r="A270" s="4">
        <v>269</v>
      </c>
      <c r="B270" s="3">
        <v>21819</v>
      </c>
      <c r="C270" s="4">
        <v>43</v>
      </c>
      <c r="D270" s="13">
        <f t="shared" si="21"/>
        <v>43.622093513941707</v>
      </c>
      <c r="E270" s="13">
        <f t="shared" si="20"/>
        <v>4.4925668088928745</v>
      </c>
      <c r="F270" s="13">
        <f t="shared" si="22"/>
        <v>4.4925668088928745</v>
      </c>
      <c r="G270" s="13">
        <f t="shared" si="23"/>
        <v>20.183156532365906</v>
      </c>
      <c r="H270" s="5">
        <f t="shared" si="24"/>
        <v>0.10447829788122964</v>
      </c>
    </row>
    <row r="271" spans="1:8" ht="15.75" customHeight="1">
      <c r="A271" s="4">
        <v>270</v>
      </c>
      <c r="B271" s="3">
        <v>21820</v>
      </c>
      <c r="C271" s="4">
        <v>40</v>
      </c>
      <c r="D271" s="13">
        <f t="shared" si="21"/>
        <v>43.64117806738512</v>
      </c>
      <c r="E271" s="13">
        <f t="shared" si="20"/>
        <v>1.4925668088928745</v>
      </c>
      <c r="F271" s="13">
        <f t="shared" si="22"/>
        <v>1.4925668088928745</v>
      </c>
      <c r="G271" s="13">
        <f t="shared" si="23"/>
        <v>2.2277556790086588</v>
      </c>
      <c r="H271" s="5">
        <f t="shared" si="24"/>
        <v>3.7314170222321863E-2</v>
      </c>
    </row>
    <row r="272" spans="1:8" ht="15.75" customHeight="1">
      <c r="A272" s="4">
        <v>271</v>
      </c>
      <c r="B272" s="3">
        <v>21821</v>
      </c>
      <c r="C272" s="4">
        <v>47</v>
      </c>
      <c r="D272" s="13">
        <f t="shared" si="21"/>
        <v>43.660262620828533</v>
      </c>
      <c r="E272" s="13">
        <f t="shared" si="20"/>
        <v>8.4925668088928745</v>
      </c>
      <c r="F272" s="13">
        <f t="shared" si="22"/>
        <v>8.4925668088928745</v>
      </c>
      <c r="G272" s="13">
        <f t="shared" si="23"/>
        <v>72.123691003508895</v>
      </c>
      <c r="H272" s="5">
        <f t="shared" si="24"/>
        <v>0.18069291082750796</v>
      </c>
    </row>
    <row r="273" spans="1:8" ht="15.75" customHeight="1">
      <c r="A273" s="4">
        <v>272</v>
      </c>
      <c r="B273" s="3">
        <v>21822</v>
      </c>
      <c r="C273" s="4">
        <v>51</v>
      </c>
      <c r="D273" s="13">
        <f t="shared" si="21"/>
        <v>43.679347174271946</v>
      </c>
      <c r="E273" s="13">
        <f t="shared" si="20"/>
        <v>12.492566808892875</v>
      </c>
      <c r="F273" s="13">
        <f t="shared" si="22"/>
        <v>12.492566808892875</v>
      </c>
      <c r="G273" s="13">
        <f t="shared" si="23"/>
        <v>156.06422547465189</v>
      </c>
      <c r="H273" s="5">
        <f t="shared" si="24"/>
        <v>0.24495229037044852</v>
      </c>
    </row>
    <row r="274" spans="1:8" ht="15.75" customHeight="1">
      <c r="A274" s="4">
        <v>273</v>
      </c>
      <c r="B274" s="3">
        <v>21823</v>
      </c>
      <c r="C274" s="4">
        <v>56</v>
      </c>
      <c r="D274" s="13">
        <f t="shared" si="21"/>
        <v>43.698431727715359</v>
      </c>
      <c r="E274" s="13">
        <f t="shared" si="20"/>
        <v>17.492566808892875</v>
      </c>
      <c r="F274" s="13">
        <f t="shared" si="22"/>
        <v>17.492566808892875</v>
      </c>
      <c r="G274" s="13">
        <f t="shared" si="23"/>
        <v>305.98989356358067</v>
      </c>
      <c r="H274" s="5">
        <f t="shared" si="24"/>
        <v>0.31236726444451562</v>
      </c>
    </row>
    <row r="275" spans="1:8" ht="15.75" customHeight="1">
      <c r="A275" s="4">
        <v>274</v>
      </c>
      <c r="B275" s="3">
        <v>21824</v>
      </c>
      <c r="C275" s="4">
        <v>49</v>
      </c>
      <c r="D275" s="13">
        <f t="shared" si="21"/>
        <v>43.717516281158773</v>
      </c>
      <c r="E275" s="13">
        <f t="shared" si="20"/>
        <v>10.492566808892875</v>
      </c>
      <c r="F275" s="13">
        <f t="shared" si="22"/>
        <v>10.492566808892875</v>
      </c>
      <c r="G275" s="13">
        <f t="shared" si="23"/>
        <v>110.09395823908039</v>
      </c>
      <c r="H275" s="5">
        <f t="shared" si="24"/>
        <v>0.21413401650801786</v>
      </c>
    </row>
    <row r="276" spans="1:8" ht="15.75" customHeight="1">
      <c r="A276" s="4">
        <v>275</v>
      </c>
      <c r="B276" s="3">
        <v>21825</v>
      </c>
      <c r="C276" s="4">
        <v>54</v>
      </c>
      <c r="D276" s="13">
        <f t="shared" si="21"/>
        <v>43.736600834602186</v>
      </c>
      <c r="E276" s="13">
        <f t="shared" si="20"/>
        <v>15.492566808892875</v>
      </c>
      <c r="F276" s="13">
        <f t="shared" si="22"/>
        <v>15.492566808892875</v>
      </c>
      <c r="G276" s="13">
        <f t="shared" si="23"/>
        <v>240.01962632800914</v>
      </c>
      <c r="H276" s="5">
        <f t="shared" si="24"/>
        <v>0.28689938534986803</v>
      </c>
    </row>
    <row r="277" spans="1:8" ht="15.75" customHeight="1">
      <c r="A277" s="4">
        <v>276</v>
      </c>
      <c r="B277" s="3">
        <v>21826</v>
      </c>
      <c r="C277" s="4">
        <v>56</v>
      </c>
      <c r="D277" s="13">
        <f t="shared" si="21"/>
        <v>43.755685388045599</v>
      </c>
      <c r="E277" s="13">
        <f t="shared" si="20"/>
        <v>17.492566808892875</v>
      </c>
      <c r="F277" s="13">
        <f t="shared" si="22"/>
        <v>17.492566808892875</v>
      </c>
      <c r="G277" s="13">
        <f t="shared" si="23"/>
        <v>305.98989356358067</v>
      </c>
      <c r="H277" s="5">
        <f t="shared" si="24"/>
        <v>0.31236726444451562</v>
      </c>
    </row>
    <row r="278" spans="1:8" ht="15.75" customHeight="1">
      <c r="A278" s="4">
        <v>277</v>
      </c>
      <c r="B278" s="3">
        <v>21827</v>
      </c>
      <c r="C278" s="4">
        <v>47</v>
      </c>
      <c r="D278" s="13">
        <f t="shared" si="21"/>
        <v>43.774769941489012</v>
      </c>
      <c r="E278" s="13">
        <f t="shared" si="20"/>
        <v>8.4925668088928745</v>
      </c>
      <c r="F278" s="13">
        <f t="shared" si="22"/>
        <v>8.4925668088928745</v>
      </c>
      <c r="G278" s="13">
        <f t="shared" si="23"/>
        <v>72.123691003508895</v>
      </c>
      <c r="H278" s="5">
        <f t="shared" si="24"/>
        <v>0.18069291082750796</v>
      </c>
    </row>
    <row r="279" spans="1:8" ht="15.75" customHeight="1">
      <c r="A279" s="4">
        <v>278</v>
      </c>
      <c r="B279" s="3">
        <v>21828</v>
      </c>
      <c r="C279" s="4">
        <v>44</v>
      </c>
      <c r="D279" s="13">
        <f t="shared" si="21"/>
        <v>43.793854494932425</v>
      </c>
      <c r="E279" s="13">
        <f t="shared" si="20"/>
        <v>5.4925668088928745</v>
      </c>
      <c r="F279" s="13">
        <f t="shared" si="22"/>
        <v>5.4925668088928745</v>
      </c>
      <c r="G279" s="13">
        <f t="shared" si="23"/>
        <v>30.168290150151655</v>
      </c>
      <c r="H279" s="5">
        <f t="shared" si="24"/>
        <v>0.12483106383847442</v>
      </c>
    </row>
    <row r="280" spans="1:8" ht="15.75" customHeight="1">
      <c r="A280" s="4">
        <v>279</v>
      </c>
      <c r="B280" s="3">
        <v>21829</v>
      </c>
      <c r="C280" s="4">
        <v>43</v>
      </c>
      <c r="D280" s="13">
        <f t="shared" si="21"/>
        <v>43.812939048375839</v>
      </c>
      <c r="E280" s="13">
        <f t="shared" si="20"/>
        <v>4.4925668088928745</v>
      </c>
      <c r="F280" s="13">
        <f t="shared" si="22"/>
        <v>4.4925668088928745</v>
      </c>
      <c r="G280" s="13">
        <f t="shared" si="23"/>
        <v>20.183156532365906</v>
      </c>
      <c r="H280" s="5">
        <f t="shared" si="24"/>
        <v>0.10447829788122964</v>
      </c>
    </row>
    <row r="281" spans="1:8" ht="15.75" customHeight="1">
      <c r="A281" s="4">
        <v>280</v>
      </c>
      <c r="B281" s="3">
        <v>21830</v>
      </c>
      <c r="C281" s="4">
        <v>42</v>
      </c>
      <c r="D281" s="13">
        <f t="shared" si="21"/>
        <v>43.832023601819245</v>
      </c>
      <c r="E281" s="13">
        <f t="shared" si="20"/>
        <v>3.4925668088928745</v>
      </c>
      <c r="F281" s="13">
        <f t="shared" si="22"/>
        <v>3.4925668088928745</v>
      </c>
      <c r="G281" s="13">
        <f t="shared" si="23"/>
        <v>12.198022914580157</v>
      </c>
      <c r="H281" s="5">
        <f t="shared" si="24"/>
        <v>8.3156352592687485E-2</v>
      </c>
    </row>
    <row r="282" spans="1:8" ht="15.75" customHeight="1">
      <c r="A282" s="4">
        <v>281</v>
      </c>
      <c r="B282" s="3">
        <v>21831</v>
      </c>
      <c r="C282" s="4">
        <v>45</v>
      </c>
      <c r="D282" s="13">
        <f t="shared" si="21"/>
        <v>43.851108155262658</v>
      </c>
      <c r="E282" s="13">
        <f t="shared" si="20"/>
        <v>6.4925668088928745</v>
      </c>
      <c r="F282" s="13">
        <f t="shared" si="22"/>
        <v>6.4925668088928745</v>
      </c>
      <c r="G282" s="13">
        <f t="shared" si="23"/>
        <v>42.153423767937404</v>
      </c>
      <c r="H282" s="5">
        <f t="shared" si="24"/>
        <v>0.14427926241984165</v>
      </c>
    </row>
    <row r="283" spans="1:8" ht="15.75" customHeight="1">
      <c r="A283" s="4">
        <v>282</v>
      </c>
      <c r="B283" s="3">
        <v>21832</v>
      </c>
      <c r="C283" s="4">
        <v>50</v>
      </c>
      <c r="D283" s="13">
        <f t="shared" si="21"/>
        <v>43.870192708706071</v>
      </c>
      <c r="E283" s="13">
        <f t="shared" si="20"/>
        <v>11.492566808892875</v>
      </c>
      <c r="F283" s="13">
        <f t="shared" si="22"/>
        <v>11.492566808892875</v>
      </c>
      <c r="G283" s="13">
        <f t="shared" si="23"/>
        <v>132.07909185686614</v>
      </c>
      <c r="H283" s="5">
        <f t="shared" si="24"/>
        <v>0.2298513361778575</v>
      </c>
    </row>
    <row r="284" spans="1:8" ht="15.75" customHeight="1">
      <c r="A284" s="4">
        <v>283</v>
      </c>
      <c r="B284" s="3">
        <v>21833</v>
      </c>
      <c r="C284" s="4">
        <v>48</v>
      </c>
      <c r="D284" s="13">
        <f t="shared" si="21"/>
        <v>43.889277262149484</v>
      </c>
      <c r="E284" s="13">
        <f t="shared" si="20"/>
        <v>9.4925668088928745</v>
      </c>
      <c r="F284" s="13">
        <f t="shared" si="22"/>
        <v>9.4925668088928745</v>
      </c>
      <c r="G284" s="13">
        <f t="shared" si="23"/>
        <v>90.108824621294644</v>
      </c>
      <c r="H284" s="5">
        <f t="shared" si="24"/>
        <v>0.19776180851860156</v>
      </c>
    </row>
    <row r="285" spans="1:8" ht="15.75" customHeight="1">
      <c r="A285" s="4">
        <v>284</v>
      </c>
      <c r="B285" s="3">
        <v>21834</v>
      </c>
      <c r="C285" s="4">
        <v>43</v>
      </c>
      <c r="D285" s="13">
        <f t="shared" si="21"/>
        <v>43.908361815592897</v>
      </c>
      <c r="E285" s="13">
        <f t="shared" si="20"/>
        <v>4.4925668088928745</v>
      </c>
      <c r="F285" s="13">
        <f t="shared" si="22"/>
        <v>4.4925668088928745</v>
      </c>
      <c r="G285" s="13">
        <f t="shared" si="23"/>
        <v>20.183156532365906</v>
      </c>
      <c r="H285" s="5">
        <f t="shared" si="24"/>
        <v>0.10447829788122964</v>
      </c>
    </row>
    <row r="286" spans="1:8" ht="15.75" customHeight="1">
      <c r="A286" s="4">
        <v>285</v>
      </c>
      <c r="B286" s="3">
        <v>21835</v>
      </c>
      <c r="C286" s="4">
        <v>40</v>
      </c>
      <c r="D286" s="13">
        <f t="shared" si="21"/>
        <v>43.927446369036311</v>
      </c>
      <c r="E286" s="13">
        <f t="shared" si="20"/>
        <v>1.4925668088928745</v>
      </c>
      <c r="F286" s="13">
        <f t="shared" si="22"/>
        <v>1.4925668088928745</v>
      </c>
      <c r="G286" s="13">
        <f t="shared" si="23"/>
        <v>2.2277556790086588</v>
      </c>
      <c r="H286" s="5">
        <f t="shared" si="24"/>
        <v>3.7314170222321863E-2</v>
      </c>
    </row>
    <row r="287" spans="1:8" ht="15.75" customHeight="1">
      <c r="A287" s="4">
        <v>286</v>
      </c>
      <c r="B287" s="3">
        <v>21836</v>
      </c>
      <c r="C287" s="4">
        <v>59</v>
      </c>
      <c r="D287" s="13">
        <f t="shared" si="21"/>
        <v>43.946530922479724</v>
      </c>
      <c r="E287" s="13">
        <f t="shared" si="20"/>
        <v>20.492566808892875</v>
      </c>
      <c r="F287" s="13">
        <f t="shared" si="22"/>
        <v>20.492566808892875</v>
      </c>
      <c r="G287" s="13">
        <f t="shared" si="23"/>
        <v>419.94529441693788</v>
      </c>
      <c r="H287" s="5">
        <f t="shared" si="24"/>
        <v>0.34733164082869278</v>
      </c>
    </row>
    <row r="288" spans="1:8" ht="15.75" customHeight="1">
      <c r="A288" s="4">
        <v>287</v>
      </c>
      <c r="B288" s="3">
        <v>21837</v>
      </c>
      <c r="C288" s="4">
        <v>41</v>
      </c>
      <c r="D288" s="13">
        <f t="shared" si="21"/>
        <v>43.965615475923137</v>
      </c>
      <c r="E288" s="13">
        <f t="shared" si="20"/>
        <v>2.4925668088928745</v>
      </c>
      <c r="F288" s="13">
        <f t="shared" si="22"/>
        <v>2.4925668088928745</v>
      </c>
      <c r="G288" s="13">
        <f t="shared" si="23"/>
        <v>6.2128892967944074</v>
      </c>
      <c r="H288" s="5">
        <f t="shared" si="24"/>
        <v>6.079431241202133E-2</v>
      </c>
    </row>
    <row r="289" spans="1:8" ht="15.75" customHeight="1">
      <c r="A289" s="4">
        <v>288</v>
      </c>
      <c r="B289" s="3">
        <v>21838</v>
      </c>
      <c r="C289" s="4">
        <v>42</v>
      </c>
      <c r="D289" s="13">
        <f t="shared" si="21"/>
        <v>43.98470002936655</v>
      </c>
      <c r="E289" s="13">
        <f t="shared" si="20"/>
        <v>3.4925668088928745</v>
      </c>
      <c r="F289" s="13">
        <f t="shared" si="22"/>
        <v>3.4925668088928745</v>
      </c>
      <c r="G289" s="13">
        <f t="shared" si="23"/>
        <v>12.198022914580157</v>
      </c>
      <c r="H289" s="5">
        <f t="shared" si="24"/>
        <v>8.3156352592687485E-2</v>
      </c>
    </row>
    <row r="290" spans="1:8" ht="15.75" customHeight="1">
      <c r="A290" s="4">
        <v>289</v>
      </c>
      <c r="B290" s="3">
        <v>21839</v>
      </c>
      <c r="C290" s="4">
        <v>51</v>
      </c>
      <c r="D290" s="13">
        <f t="shared" si="21"/>
        <v>44.003784582809963</v>
      </c>
      <c r="E290" s="13">
        <f t="shared" si="20"/>
        <v>12.492566808892875</v>
      </c>
      <c r="F290" s="13">
        <f t="shared" si="22"/>
        <v>12.492566808892875</v>
      </c>
      <c r="G290" s="13">
        <f t="shared" si="23"/>
        <v>156.06422547465189</v>
      </c>
      <c r="H290" s="5">
        <f t="shared" si="24"/>
        <v>0.24495229037044852</v>
      </c>
    </row>
    <row r="291" spans="1:8" ht="15.75" customHeight="1">
      <c r="A291" s="4">
        <v>290</v>
      </c>
      <c r="B291" s="3">
        <v>21840</v>
      </c>
      <c r="C291" s="4">
        <v>49</v>
      </c>
      <c r="D291" s="13">
        <f t="shared" si="21"/>
        <v>44.022869136253377</v>
      </c>
      <c r="E291" s="13">
        <f t="shared" si="20"/>
        <v>10.492566808892875</v>
      </c>
      <c r="F291" s="13">
        <f t="shared" si="22"/>
        <v>10.492566808892875</v>
      </c>
      <c r="G291" s="13">
        <f t="shared" si="23"/>
        <v>110.09395823908039</v>
      </c>
      <c r="H291" s="5">
        <f t="shared" si="24"/>
        <v>0.21413401650801786</v>
      </c>
    </row>
    <row r="292" spans="1:8" ht="15.75" customHeight="1">
      <c r="A292" s="4">
        <v>291</v>
      </c>
      <c r="B292" s="3">
        <v>21841</v>
      </c>
      <c r="C292" s="4">
        <v>45</v>
      </c>
      <c r="D292" s="13">
        <f t="shared" si="21"/>
        <v>44.041953689696783</v>
      </c>
      <c r="E292" s="13">
        <f t="shared" si="20"/>
        <v>6.4925668088928745</v>
      </c>
      <c r="F292" s="13">
        <f t="shared" si="22"/>
        <v>6.4925668088928745</v>
      </c>
      <c r="G292" s="13">
        <f t="shared" si="23"/>
        <v>42.153423767937404</v>
      </c>
      <c r="H292" s="5">
        <f t="shared" si="24"/>
        <v>0.14427926241984165</v>
      </c>
    </row>
    <row r="293" spans="1:8" ht="15.75" customHeight="1">
      <c r="A293" s="4">
        <v>292</v>
      </c>
      <c r="B293" s="3">
        <v>21842</v>
      </c>
      <c r="C293" s="4">
        <v>43</v>
      </c>
      <c r="D293" s="13">
        <f t="shared" si="21"/>
        <v>44.061038243140203</v>
      </c>
      <c r="E293" s="13">
        <f t="shared" si="20"/>
        <v>4.4925668088928745</v>
      </c>
      <c r="F293" s="13">
        <f t="shared" si="22"/>
        <v>4.4925668088928745</v>
      </c>
      <c r="G293" s="13">
        <f t="shared" si="23"/>
        <v>20.183156532365906</v>
      </c>
      <c r="H293" s="5">
        <f t="shared" si="24"/>
        <v>0.10447829788122964</v>
      </c>
    </row>
    <row r="294" spans="1:8" ht="15.75" customHeight="1">
      <c r="A294" s="4">
        <v>293</v>
      </c>
      <c r="B294" s="3">
        <v>21843</v>
      </c>
      <c r="C294" s="4">
        <v>42</v>
      </c>
      <c r="D294" s="13">
        <f t="shared" si="21"/>
        <v>44.080122796583609</v>
      </c>
      <c r="E294" s="13">
        <f t="shared" si="20"/>
        <v>3.4925668088928745</v>
      </c>
      <c r="F294" s="13">
        <f t="shared" si="22"/>
        <v>3.4925668088928745</v>
      </c>
      <c r="G294" s="13">
        <f t="shared" si="23"/>
        <v>12.198022914580157</v>
      </c>
      <c r="H294" s="5">
        <f t="shared" si="24"/>
        <v>8.3156352592687485E-2</v>
      </c>
    </row>
    <row r="295" spans="1:8" ht="15.75" customHeight="1">
      <c r="A295" s="4">
        <v>294</v>
      </c>
      <c r="B295" s="3">
        <v>21844</v>
      </c>
      <c r="C295" s="4">
        <v>38</v>
      </c>
      <c r="D295" s="13">
        <f t="shared" si="21"/>
        <v>44.099207350027022</v>
      </c>
      <c r="E295" s="13">
        <f t="shared" si="20"/>
        <v>-0.50743319110712548</v>
      </c>
      <c r="F295" s="13">
        <f t="shared" si="22"/>
        <v>0.50743319110712548</v>
      </c>
      <c r="G295" s="13">
        <f t="shared" si="23"/>
        <v>0.25748844343716054</v>
      </c>
      <c r="H295" s="5">
        <f t="shared" si="24"/>
        <v>1.3353505029134882E-2</v>
      </c>
    </row>
    <row r="296" spans="1:8" ht="15.75" customHeight="1">
      <c r="A296" s="4">
        <v>295</v>
      </c>
      <c r="B296" s="3">
        <v>21845</v>
      </c>
      <c r="C296" s="4">
        <v>47</v>
      </c>
      <c r="D296" s="13">
        <f t="shared" si="21"/>
        <v>44.118291903470435</v>
      </c>
      <c r="E296" s="13">
        <f t="shared" si="20"/>
        <v>8.4925668088928745</v>
      </c>
      <c r="F296" s="13">
        <f t="shared" si="22"/>
        <v>8.4925668088928745</v>
      </c>
      <c r="G296" s="13">
        <f t="shared" si="23"/>
        <v>72.123691003508895</v>
      </c>
      <c r="H296" s="5">
        <f t="shared" si="24"/>
        <v>0.18069291082750796</v>
      </c>
    </row>
    <row r="297" spans="1:8" ht="15.75" customHeight="1">
      <c r="A297" s="4">
        <v>296</v>
      </c>
      <c r="B297" s="3">
        <v>21846</v>
      </c>
      <c r="C297" s="4">
        <v>38</v>
      </c>
      <c r="D297" s="13">
        <f t="shared" si="21"/>
        <v>44.137376456913849</v>
      </c>
      <c r="E297" s="13">
        <f t="shared" si="20"/>
        <v>-0.50743319110712548</v>
      </c>
      <c r="F297" s="13">
        <f t="shared" si="22"/>
        <v>0.50743319110712548</v>
      </c>
      <c r="G297" s="13">
        <f t="shared" si="23"/>
        <v>0.25748844343716054</v>
      </c>
      <c r="H297" s="5">
        <f t="shared" si="24"/>
        <v>1.3353505029134882E-2</v>
      </c>
    </row>
    <row r="298" spans="1:8" ht="15.75" customHeight="1">
      <c r="A298" s="4">
        <v>297</v>
      </c>
      <c r="B298" s="3">
        <v>21847</v>
      </c>
      <c r="C298" s="4">
        <v>36</v>
      </c>
      <c r="D298" s="13">
        <f t="shared" si="21"/>
        <v>44.156461010357262</v>
      </c>
      <c r="E298" s="13">
        <f t="shared" si="20"/>
        <v>-2.5074331911071255</v>
      </c>
      <c r="F298" s="13">
        <f t="shared" si="22"/>
        <v>2.5074331911071255</v>
      </c>
      <c r="G298" s="13">
        <f t="shared" si="23"/>
        <v>6.2872212078656622</v>
      </c>
      <c r="H298" s="5">
        <f t="shared" si="24"/>
        <v>6.9650921975197927E-2</v>
      </c>
    </row>
    <row r="299" spans="1:8" ht="15.75" customHeight="1">
      <c r="A299" s="4">
        <v>298</v>
      </c>
      <c r="B299" s="3">
        <v>21848</v>
      </c>
      <c r="C299" s="4">
        <v>42</v>
      </c>
      <c r="D299" s="13">
        <f t="shared" si="21"/>
        <v>44.175545563800675</v>
      </c>
      <c r="E299" s="13">
        <f t="shared" si="20"/>
        <v>3.4925668088928745</v>
      </c>
      <c r="F299" s="13">
        <f t="shared" si="22"/>
        <v>3.4925668088928745</v>
      </c>
      <c r="G299" s="13">
        <f t="shared" si="23"/>
        <v>12.198022914580157</v>
      </c>
      <c r="H299" s="5">
        <f t="shared" si="24"/>
        <v>8.3156352592687485E-2</v>
      </c>
    </row>
    <row r="300" spans="1:8" ht="15.75" customHeight="1">
      <c r="A300" s="4">
        <v>299</v>
      </c>
      <c r="B300" s="3">
        <v>21849</v>
      </c>
      <c r="C300" s="4">
        <v>35</v>
      </c>
      <c r="D300" s="13">
        <f t="shared" si="21"/>
        <v>44.194630117244088</v>
      </c>
      <c r="E300" s="13">
        <f t="shared" si="20"/>
        <v>-3.5074331911071255</v>
      </c>
      <c r="F300" s="13">
        <f t="shared" si="22"/>
        <v>3.5074331911071255</v>
      </c>
      <c r="G300" s="13">
        <f t="shared" si="23"/>
        <v>12.302087590079914</v>
      </c>
      <c r="H300" s="5">
        <f t="shared" si="24"/>
        <v>0.10021237688877502</v>
      </c>
    </row>
    <row r="301" spans="1:8" ht="15.75" customHeight="1">
      <c r="A301" s="4">
        <v>300</v>
      </c>
      <c r="B301" s="3">
        <v>21850</v>
      </c>
      <c r="C301" s="4">
        <v>28</v>
      </c>
      <c r="D301" s="13">
        <f t="shared" si="21"/>
        <v>44.213714670687501</v>
      </c>
      <c r="E301" s="13">
        <f t="shared" si="20"/>
        <v>-10.507433191107125</v>
      </c>
      <c r="F301" s="13">
        <f t="shared" si="22"/>
        <v>10.507433191107125</v>
      </c>
      <c r="G301" s="13">
        <f t="shared" si="23"/>
        <v>110.40615226557966</v>
      </c>
      <c r="H301" s="5">
        <f t="shared" si="24"/>
        <v>0.37526547111096875</v>
      </c>
    </row>
    <row r="302" spans="1:8" ht="15.75" customHeight="1">
      <c r="A302" s="4">
        <v>301</v>
      </c>
      <c r="B302" s="3">
        <v>21851</v>
      </c>
      <c r="C302" s="4">
        <v>44</v>
      </c>
      <c r="D302" s="13">
        <f t="shared" si="21"/>
        <v>44.232799224130915</v>
      </c>
      <c r="E302" s="13">
        <f t="shared" si="20"/>
        <v>5.4925668088928745</v>
      </c>
      <c r="F302" s="13">
        <f t="shared" si="22"/>
        <v>5.4925668088928745</v>
      </c>
      <c r="G302" s="13">
        <f t="shared" si="23"/>
        <v>30.168290150151655</v>
      </c>
      <c r="H302" s="5">
        <f t="shared" si="24"/>
        <v>0.12483106383847442</v>
      </c>
    </row>
    <row r="303" spans="1:8" ht="15.75" customHeight="1">
      <c r="A303" s="4">
        <v>302</v>
      </c>
      <c r="B303" s="3">
        <v>21852</v>
      </c>
      <c r="C303" s="4">
        <v>36</v>
      </c>
      <c r="D303" s="13">
        <f t="shared" si="21"/>
        <v>44.251883777574328</v>
      </c>
      <c r="E303" s="13">
        <f t="shared" si="20"/>
        <v>-2.5074331911071255</v>
      </c>
      <c r="F303" s="13">
        <f t="shared" si="22"/>
        <v>2.5074331911071255</v>
      </c>
      <c r="G303" s="13">
        <f t="shared" si="23"/>
        <v>6.2872212078656622</v>
      </c>
      <c r="H303" s="5">
        <f t="shared" si="24"/>
        <v>6.9650921975197927E-2</v>
      </c>
    </row>
    <row r="304" spans="1:8" ht="15.75" customHeight="1">
      <c r="A304" s="4">
        <v>303</v>
      </c>
      <c r="B304" s="3">
        <v>21853</v>
      </c>
      <c r="C304" s="4">
        <v>45</v>
      </c>
      <c r="D304" s="13">
        <f t="shared" si="21"/>
        <v>44.270968331017741</v>
      </c>
      <c r="E304" s="13">
        <f t="shared" si="20"/>
        <v>6.4925668088928745</v>
      </c>
      <c r="F304" s="13">
        <f t="shared" si="22"/>
        <v>6.4925668088928745</v>
      </c>
      <c r="G304" s="13">
        <f t="shared" si="23"/>
        <v>42.153423767937404</v>
      </c>
      <c r="H304" s="5">
        <f t="shared" si="24"/>
        <v>0.14427926241984165</v>
      </c>
    </row>
    <row r="305" spans="1:8" ht="15.75" customHeight="1">
      <c r="A305" s="4">
        <v>304</v>
      </c>
      <c r="B305" s="3">
        <v>21854</v>
      </c>
      <c r="C305" s="4">
        <v>46</v>
      </c>
      <c r="D305" s="13">
        <f t="shared" si="21"/>
        <v>44.290052884461147</v>
      </c>
      <c r="E305" s="13">
        <f t="shared" si="20"/>
        <v>7.4925668088928745</v>
      </c>
      <c r="F305" s="13">
        <f t="shared" si="22"/>
        <v>7.4925668088928745</v>
      </c>
      <c r="G305" s="13">
        <f t="shared" si="23"/>
        <v>56.138557385723153</v>
      </c>
      <c r="H305" s="5">
        <f t="shared" si="24"/>
        <v>0.16288188714984511</v>
      </c>
    </row>
    <row r="306" spans="1:8" ht="15.75" customHeight="1">
      <c r="A306" s="4">
        <v>305</v>
      </c>
      <c r="B306" s="3">
        <v>21855</v>
      </c>
      <c r="C306" s="4">
        <v>48</v>
      </c>
      <c r="D306" s="13">
        <f t="shared" si="21"/>
        <v>44.30913743790456</v>
      </c>
      <c r="E306" s="13">
        <f t="shared" si="20"/>
        <v>9.4925668088928745</v>
      </c>
      <c r="F306" s="13">
        <f t="shared" si="22"/>
        <v>9.4925668088928745</v>
      </c>
      <c r="G306" s="13">
        <f t="shared" si="23"/>
        <v>90.108824621294644</v>
      </c>
      <c r="H306" s="5">
        <f t="shared" si="24"/>
        <v>0.19776180851860156</v>
      </c>
    </row>
    <row r="307" spans="1:8" ht="15.75" customHeight="1">
      <c r="A307" s="4">
        <v>306</v>
      </c>
      <c r="B307" s="3">
        <v>21856</v>
      </c>
      <c r="C307" s="4">
        <v>49</v>
      </c>
      <c r="D307" s="13">
        <f t="shared" si="21"/>
        <v>44.328221991347974</v>
      </c>
      <c r="E307" s="13">
        <f t="shared" si="20"/>
        <v>10.492566808892875</v>
      </c>
      <c r="F307" s="13">
        <f t="shared" si="22"/>
        <v>10.492566808892875</v>
      </c>
      <c r="G307" s="13">
        <f t="shared" si="23"/>
        <v>110.09395823908039</v>
      </c>
      <c r="H307" s="5">
        <f t="shared" si="24"/>
        <v>0.21413401650801786</v>
      </c>
    </row>
    <row r="308" spans="1:8" ht="15.75" customHeight="1">
      <c r="A308" s="4">
        <v>307</v>
      </c>
      <c r="B308" s="3">
        <v>21857</v>
      </c>
      <c r="C308" s="4">
        <v>43</v>
      </c>
      <c r="D308" s="13">
        <f t="shared" si="21"/>
        <v>44.347306544791387</v>
      </c>
      <c r="E308" s="13">
        <f t="shared" si="20"/>
        <v>4.4925668088928745</v>
      </c>
      <c r="F308" s="13">
        <f t="shared" si="22"/>
        <v>4.4925668088928745</v>
      </c>
      <c r="G308" s="13">
        <f t="shared" si="23"/>
        <v>20.183156532365906</v>
      </c>
      <c r="H308" s="5">
        <f t="shared" si="24"/>
        <v>0.10447829788122964</v>
      </c>
    </row>
    <row r="309" spans="1:8" ht="15.75" customHeight="1">
      <c r="A309" s="4">
        <v>308</v>
      </c>
      <c r="B309" s="3">
        <v>21858</v>
      </c>
      <c r="C309" s="4">
        <v>42</v>
      </c>
      <c r="D309" s="13">
        <f t="shared" si="21"/>
        <v>44.3663910982348</v>
      </c>
      <c r="E309" s="13">
        <f t="shared" si="20"/>
        <v>3.4925668088928745</v>
      </c>
      <c r="F309" s="13">
        <f t="shared" si="22"/>
        <v>3.4925668088928745</v>
      </c>
      <c r="G309" s="13">
        <f t="shared" si="23"/>
        <v>12.198022914580157</v>
      </c>
      <c r="H309" s="5">
        <f t="shared" si="24"/>
        <v>8.3156352592687485E-2</v>
      </c>
    </row>
    <row r="310" spans="1:8" ht="15.75" customHeight="1">
      <c r="A310" s="4">
        <v>309</v>
      </c>
      <c r="B310" s="3">
        <v>21859</v>
      </c>
      <c r="C310" s="4">
        <v>59</v>
      </c>
      <c r="D310" s="13">
        <f t="shared" si="21"/>
        <v>44.385475651678213</v>
      </c>
      <c r="E310" s="13">
        <f t="shared" si="20"/>
        <v>20.492566808892875</v>
      </c>
      <c r="F310" s="13">
        <f t="shared" si="22"/>
        <v>20.492566808892875</v>
      </c>
      <c r="G310" s="13">
        <f t="shared" si="23"/>
        <v>419.94529441693788</v>
      </c>
      <c r="H310" s="5">
        <f t="shared" si="24"/>
        <v>0.34733164082869278</v>
      </c>
    </row>
    <row r="311" spans="1:8" ht="15.75" customHeight="1">
      <c r="A311" s="4">
        <v>310</v>
      </c>
      <c r="B311" s="3">
        <v>21860</v>
      </c>
      <c r="C311" s="4">
        <v>45</v>
      </c>
      <c r="D311" s="13">
        <f t="shared" si="21"/>
        <v>44.404560205121626</v>
      </c>
      <c r="E311" s="13">
        <f t="shared" si="20"/>
        <v>6.4925668088928745</v>
      </c>
      <c r="F311" s="13">
        <f t="shared" si="22"/>
        <v>6.4925668088928745</v>
      </c>
      <c r="G311" s="13">
        <f t="shared" si="23"/>
        <v>42.153423767937404</v>
      </c>
      <c r="H311" s="5">
        <f t="shared" si="24"/>
        <v>0.14427926241984165</v>
      </c>
    </row>
    <row r="312" spans="1:8" ht="15.75" customHeight="1">
      <c r="A312" s="4">
        <v>311</v>
      </c>
      <c r="B312" s="3">
        <v>21861</v>
      </c>
      <c r="C312" s="4">
        <v>52</v>
      </c>
      <c r="D312" s="13">
        <f t="shared" si="21"/>
        <v>44.42364475856504</v>
      </c>
      <c r="E312" s="13">
        <f t="shared" si="20"/>
        <v>13.492566808892875</v>
      </c>
      <c r="F312" s="13">
        <f t="shared" si="22"/>
        <v>13.492566808892875</v>
      </c>
      <c r="G312" s="13">
        <f t="shared" si="23"/>
        <v>182.04935909243764</v>
      </c>
      <c r="H312" s="5">
        <f t="shared" si="24"/>
        <v>0.25947243863255526</v>
      </c>
    </row>
    <row r="313" spans="1:8" ht="15.75" customHeight="1">
      <c r="A313" s="4">
        <v>312</v>
      </c>
      <c r="B313" s="3">
        <v>21862</v>
      </c>
      <c r="C313" s="4">
        <v>46</v>
      </c>
      <c r="D313" s="13">
        <f t="shared" si="21"/>
        <v>44.442729312008453</v>
      </c>
      <c r="E313" s="13">
        <f t="shared" si="20"/>
        <v>7.4925668088928745</v>
      </c>
      <c r="F313" s="13">
        <f t="shared" si="22"/>
        <v>7.4925668088928745</v>
      </c>
      <c r="G313" s="13">
        <f t="shared" si="23"/>
        <v>56.138557385723153</v>
      </c>
      <c r="H313" s="5">
        <f t="shared" si="24"/>
        <v>0.16288188714984511</v>
      </c>
    </row>
    <row r="314" spans="1:8" ht="15.75" customHeight="1">
      <c r="A314" s="4">
        <v>313</v>
      </c>
      <c r="B314" s="3">
        <v>21863</v>
      </c>
      <c r="C314" s="4">
        <v>42</v>
      </c>
      <c r="D314" s="13">
        <f t="shared" si="21"/>
        <v>44.461813865451866</v>
      </c>
      <c r="E314" s="13">
        <f t="shared" si="20"/>
        <v>3.4925668088928745</v>
      </c>
      <c r="F314" s="13">
        <f t="shared" si="22"/>
        <v>3.4925668088928745</v>
      </c>
      <c r="G314" s="13">
        <f t="shared" si="23"/>
        <v>12.198022914580157</v>
      </c>
      <c r="H314" s="5">
        <f t="shared" si="24"/>
        <v>8.3156352592687485E-2</v>
      </c>
    </row>
    <row r="315" spans="1:8" ht="15.75" customHeight="1">
      <c r="A315" s="4">
        <v>314</v>
      </c>
      <c r="B315" s="3">
        <v>21864</v>
      </c>
      <c r="C315" s="4">
        <v>40</v>
      </c>
      <c r="D315" s="13">
        <f t="shared" si="21"/>
        <v>44.480898418895279</v>
      </c>
      <c r="E315" s="13">
        <f t="shared" si="20"/>
        <v>1.4925668088928745</v>
      </c>
      <c r="F315" s="13">
        <f t="shared" si="22"/>
        <v>1.4925668088928745</v>
      </c>
      <c r="G315" s="13">
        <f t="shared" si="23"/>
        <v>2.2277556790086588</v>
      </c>
      <c r="H315" s="5">
        <f t="shared" si="24"/>
        <v>3.7314170222321863E-2</v>
      </c>
    </row>
    <row r="316" spans="1:8" ht="15.75" customHeight="1">
      <c r="A316" s="4">
        <v>315</v>
      </c>
      <c r="B316" s="3">
        <v>21865</v>
      </c>
      <c r="C316" s="4">
        <v>40</v>
      </c>
      <c r="D316" s="13">
        <f t="shared" si="21"/>
        <v>44.499982972338692</v>
      </c>
      <c r="E316" s="13">
        <f t="shared" si="20"/>
        <v>1.4925668088928745</v>
      </c>
      <c r="F316" s="13">
        <f t="shared" si="22"/>
        <v>1.4925668088928745</v>
      </c>
      <c r="G316" s="13">
        <f t="shared" si="23"/>
        <v>2.2277556790086588</v>
      </c>
      <c r="H316" s="5">
        <f t="shared" si="24"/>
        <v>3.7314170222321863E-2</v>
      </c>
    </row>
    <row r="317" spans="1:8" ht="15.75" customHeight="1">
      <c r="A317" s="4">
        <v>316</v>
      </c>
      <c r="B317" s="3">
        <v>21866</v>
      </c>
      <c r="C317" s="4">
        <v>45</v>
      </c>
      <c r="D317" s="13">
        <f t="shared" si="21"/>
        <v>44.519067525782106</v>
      </c>
      <c r="E317" s="13">
        <f t="shared" si="20"/>
        <v>6.4925668088928745</v>
      </c>
      <c r="F317" s="13">
        <f t="shared" si="22"/>
        <v>6.4925668088928745</v>
      </c>
      <c r="G317" s="13">
        <f t="shared" si="23"/>
        <v>42.153423767937404</v>
      </c>
      <c r="H317" s="5">
        <f t="shared" si="24"/>
        <v>0.14427926241984165</v>
      </c>
    </row>
    <row r="318" spans="1:8" ht="15.75" customHeight="1">
      <c r="A318" s="4">
        <v>317</v>
      </c>
      <c r="B318" s="3">
        <v>21867</v>
      </c>
      <c r="C318" s="4">
        <v>35</v>
      </c>
      <c r="D318" s="13">
        <f t="shared" si="21"/>
        <v>44.538152079225512</v>
      </c>
      <c r="E318" s="13">
        <f t="shared" si="20"/>
        <v>-3.5074331911071255</v>
      </c>
      <c r="F318" s="13">
        <f t="shared" si="22"/>
        <v>3.5074331911071255</v>
      </c>
      <c r="G318" s="13">
        <f t="shared" si="23"/>
        <v>12.302087590079914</v>
      </c>
      <c r="H318" s="5">
        <f t="shared" si="24"/>
        <v>0.10021237688877502</v>
      </c>
    </row>
    <row r="319" spans="1:8" ht="15.75" customHeight="1">
      <c r="A319" s="4">
        <v>318</v>
      </c>
      <c r="B319" s="3">
        <v>21868</v>
      </c>
      <c r="C319" s="4">
        <v>35</v>
      </c>
      <c r="D319" s="13">
        <f t="shared" si="21"/>
        <v>44.557236632668925</v>
      </c>
      <c r="E319" s="13">
        <f t="shared" si="20"/>
        <v>-3.5074331911071255</v>
      </c>
      <c r="F319" s="13">
        <f t="shared" si="22"/>
        <v>3.5074331911071255</v>
      </c>
      <c r="G319" s="13">
        <f t="shared" si="23"/>
        <v>12.302087590079914</v>
      </c>
      <c r="H319" s="5">
        <f t="shared" si="24"/>
        <v>0.10021237688877502</v>
      </c>
    </row>
    <row r="320" spans="1:8" ht="15.75" customHeight="1">
      <c r="A320" s="4">
        <v>319</v>
      </c>
      <c r="B320" s="3">
        <v>21869</v>
      </c>
      <c r="C320" s="4">
        <v>40</v>
      </c>
      <c r="D320" s="13">
        <f t="shared" si="21"/>
        <v>44.576321186112338</v>
      </c>
      <c r="E320" s="13">
        <f t="shared" si="20"/>
        <v>1.4925668088928745</v>
      </c>
      <c r="F320" s="13">
        <f t="shared" si="22"/>
        <v>1.4925668088928745</v>
      </c>
      <c r="G320" s="13">
        <f t="shared" si="23"/>
        <v>2.2277556790086588</v>
      </c>
      <c r="H320" s="5">
        <f t="shared" si="24"/>
        <v>3.7314170222321863E-2</v>
      </c>
    </row>
    <row r="321" spans="1:8" ht="15.75" customHeight="1">
      <c r="A321" s="4">
        <v>320</v>
      </c>
      <c r="B321" s="3">
        <v>21870</v>
      </c>
      <c r="C321" s="4">
        <v>39</v>
      </c>
      <c r="D321" s="13">
        <f t="shared" si="21"/>
        <v>44.595405739555751</v>
      </c>
      <c r="E321" s="13">
        <f t="shared" si="20"/>
        <v>0.49256680889287452</v>
      </c>
      <c r="F321" s="13">
        <f t="shared" si="22"/>
        <v>0.49256680889287452</v>
      </c>
      <c r="G321" s="13">
        <f t="shared" si="23"/>
        <v>0.24262206122290958</v>
      </c>
      <c r="H321" s="5">
        <f t="shared" si="24"/>
        <v>1.2629918176740373E-2</v>
      </c>
    </row>
    <row r="322" spans="1:8" ht="15.75" customHeight="1">
      <c r="A322" s="4">
        <v>321</v>
      </c>
      <c r="B322" s="3">
        <v>21871</v>
      </c>
      <c r="C322" s="4">
        <v>33</v>
      </c>
      <c r="D322" s="13">
        <f t="shared" si="21"/>
        <v>44.614490292999164</v>
      </c>
      <c r="E322" s="13">
        <f t="shared" ref="E322:E366" si="25">C322-solver_opt</f>
        <v>-5.5074331911071255</v>
      </c>
      <c r="F322" s="13">
        <f t="shared" si="22"/>
        <v>5.5074331911071255</v>
      </c>
      <c r="G322" s="13">
        <f t="shared" si="23"/>
        <v>30.331820354508416</v>
      </c>
      <c r="H322" s="5">
        <f t="shared" si="24"/>
        <v>0.16689191488203411</v>
      </c>
    </row>
    <row r="323" spans="1:8" ht="15.75" customHeight="1">
      <c r="A323" s="4">
        <v>322</v>
      </c>
      <c r="B323" s="3">
        <v>21872</v>
      </c>
      <c r="C323" s="4">
        <v>42</v>
      </c>
      <c r="D323" s="13">
        <f t="shared" ref="D323:D366" si="26">_xlfn.FORECAST.LINEAR(A323,$C$2:$C$366,$A$2:$A$366)</f>
        <v>44.633574846442578</v>
      </c>
      <c r="E323" s="13">
        <f t="shared" si="25"/>
        <v>3.4925668088928745</v>
      </c>
      <c r="F323" s="13">
        <f t="shared" ref="F323:F366" si="27">ABS(E323)</f>
        <v>3.4925668088928745</v>
      </c>
      <c r="G323" s="13">
        <f t="shared" ref="G323:G366" si="28">F323^2</f>
        <v>12.198022914580157</v>
      </c>
      <c r="H323" s="5">
        <f t="shared" ref="H323:H366" si="29">F323/C323</f>
        <v>8.3156352592687485E-2</v>
      </c>
    </row>
    <row r="324" spans="1:8" ht="15.75" customHeight="1">
      <c r="A324" s="4">
        <v>323</v>
      </c>
      <c r="B324" s="3">
        <v>21873</v>
      </c>
      <c r="C324" s="4">
        <v>47</v>
      </c>
      <c r="D324" s="13">
        <f t="shared" si="26"/>
        <v>44.652659399885991</v>
      </c>
      <c r="E324" s="13">
        <f t="shared" si="25"/>
        <v>8.4925668088928745</v>
      </c>
      <c r="F324" s="13">
        <f t="shared" si="27"/>
        <v>8.4925668088928745</v>
      </c>
      <c r="G324" s="13">
        <f t="shared" si="28"/>
        <v>72.123691003508895</v>
      </c>
      <c r="H324" s="5">
        <f t="shared" si="29"/>
        <v>0.18069291082750796</v>
      </c>
    </row>
    <row r="325" spans="1:8" ht="15.75" customHeight="1">
      <c r="A325" s="4">
        <v>324</v>
      </c>
      <c r="B325" s="3">
        <v>21874</v>
      </c>
      <c r="C325" s="4">
        <v>51</v>
      </c>
      <c r="D325" s="13">
        <f t="shared" si="26"/>
        <v>44.671743953329404</v>
      </c>
      <c r="E325" s="13">
        <f t="shared" si="25"/>
        <v>12.492566808892875</v>
      </c>
      <c r="F325" s="13">
        <f t="shared" si="27"/>
        <v>12.492566808892875</v>
      </c>
      <c r="G325" s="13">
        <f t="shared" si="28"/>
        <v>156.06422547465189</v>
      </c>
      <c r="H325" s="5">
        <f t="shared" si="29"/>
        <v>0.24495229037044852</v>
      </c>
    </row>
    <row r="326" spans="1:8" ht="15.75" customHeight="1">
      <c r="A326" s="4">
        <v>325</v>
      </c>
      <c r="B326" s="3">
        <v>21875</v>
      </c>
      <c r="C326" s="4">
        <v>44</v>
      </c>
      <c r="D326" s="13">
        <f t="shared" si="26"/>
        <v>44.690828506772817</v>
      </c>
      <c r="E326" s="13">
        <f t="shared" si="25"/>
        <v>5.4925668088928745</v>
      </c>
      <c r="F326" s="13">
        <f t="shared" si="27"/>
        <v>5.4925668088928745</v>
      </c>
      <c r="G326" s="13">
        <f t="shared" si="28"/>
        <v>30.168290150151655</v>
      </c>
      <c r="H326" s="5">
        <f t="shared" si="29"/>
        <v>0.12483106383847442</v>
      </c>
    </row>
    <row r="327" spans="1:8" ht="15.75" customHeight="1">
      <c r="A327" s="4">
        <v>326</v>
      </c>
      <c r="B327" s="3">
        <v>21876</v>
      </c>
      <c r="C327" s="4">
        <v>40</v>
      </c>
      <c r="D327" s="13">
        <f t="shared" si="26"/>
        <v>44.70991306021623</v>
      </c>
      <c r="E327" s="13">
        <f t="shared" si="25"/>
        <v>1.4925668088928745</v>
      </c>
      <c r="F327" s="13">
        <f t="shared" si="27"/>
        <v>1.4925668088928745</v>
      </c>
      <c r="G327" s="13">
        <f t="shared" si="28"/>
        <v>2.2277556790086588</v>
      </c>
      <c r="H327" s="5">
        <f t="shared" si="29"/>
        <v>3.7314170222321863E-2</v>
      </c>
    </row>
    <row r="328" spans="1:8" ht="15.75" customHeight="1">
      <c r="A328" s="4">
        <v>327</v>
      </c>
      <c r="B328" s="3">
        <v>21877</v>
      </c>
      <c r="C328" s="4">
        <v>57</v>
      </c>
      <c r="D328" s="13">
        <f t="shared" si="26"/>
        <v>44.728997613659644</v>
      </c>
      <c r="E328" s="13">
        <f t="shared" si="25"/>
        <v>18.492566808892875</v>
      </c>
      <c r="F328" s="13">
        <f t="shared" si="27"/>
        <v>18.492566808892875</v>
      </c>
      <c r="G328" s="13">
        <f t="shared" si="28"/>
        <v>341.97502718136639</v>
      </c>
      <c r="H328" s="5">
        <f t="shared" si="29"/>
        <v>0.3244309966472434</v>
      </c>
    </row>
    <row r="329" spans="1:8" ht="15.75" customHeight="1">
      <c r="A329" s="4">
        <v>328</v>
      </c>
      <c r="B329" s="3">
        <v>21878</v>
      </c>
      <c r="C329" s="4">
        <v>49</v>
      </c>
      <c r="D329" s="13">
        <f t="shared" si="26"/>
        <v>44.748082167103057</v>
      </c>
      <c r="E329" s="13">
        <f t="shared" si="25"/>
        <v>10.492566808892875</v>
      </c>
      <c r="F329" s="13">
        <f t="shared" si="27"/>
        <v>10.492566808892875</v>
      </c>
      <c r="G329" s="13">
        <f t="shared" si="28"/>
        <v>110.09395823908039</v>
      </c>
      <c r="H329" s="5">
        <f t="shared" si="29"/>
        <v>0.21413401650801786</v>
      </c>
    </row>
    <row r="330" spans="1:8" ht="15.75" customHeight="1">
      <c r="A330" s="4">
        <v>329</v>
      </c>
      <c r="B330" s="3">
        <v>21879</v>
      </c>
      <c r="C330" s="4">
        <v>45</v>
      </c>
      <c r="D330" s="13">
        <f t="shared" si="26"/>
        <v>44.76716672054647</v>
      </c>
      <c r="E330" s="13">
        <f t="shared" si="25"/>
        <v>6.4925668088928745</v>
      </c>
      <c r="F330" s="13">
        <f t="shared" si="27"/>
        <v>6.4925668088928745</v>
      </c>
      <c r="G330" s="13">
        <f t="shared" si="28"/>
        <v>42.153423767937404</v>
      </c>
      <c r="H330" s="5">
        <f t="shared" si="29"/>
        <v>0.14427926241984165</v>
      </c>
    </row>
    <row r="331" spans="1:8" ht="15.75" customHeight="1">
      <c r="A331" s="4">
        <v>330</v>
      </c>
      <c r="B331" s="3">
        <v>21880</v>
      </c>
      <c r="C331" s="4">
        <v>49</v>
      </c>
      <c r="D331" s="13">
        <f t="shared" si="26"/>
        <v>44.786251273989876</v>
      </c>
      <c r="E331" s="13">
        <f t="shared" si="25"/>
        <v>10.492566808892875</v>
      </c>
      <c r="F331" s="13">
        <f t="shared" si="27"/>
        <v>10.492566808892875</v>
      </c>
      <c r="G331" s="13">
        <f t="shared" si="28"/>
        <v>110.09395823908039</v>
      </c>
      <c r="H331" s="5">
        <f t="shared" si="29"/>
        <v>0.21413401650801786</v>
      </c>
    </row>
    <row r="332" spans="1:8" ht="15.75" customHeight="1">
      <c r="A332" s="4">
        <v>331</v>
      </c>
      <c r="B332" s="3">
        <v>21881</v>
      </c>
      <c r="C332" s="4">
        <v>51</v>
      </c>
      <c r="D332" s="13">
        <f t="shared" si="26"/>
        <v>44.805335827433289</v>
      </c>
      <c r="E332" s="13">
        <f t="shared" si="25"/>
        <v>12.492566808892875</v>
      </c>
      <c r="F332" s="13">
        <f t="shared" si="27"/>
        <v>12.492566808892875</v>
      </c>
      <c r="G332" s="13">
        <f t="shared" si="28"/>
        <v>156.06422547465189</v>
      </c>
      <c r="H332" s="5">
        <f t="shared" si="29"/>
        <v>0.24495229037044852</v>
      </c>
    </row>
    <row r="333" spans="1:8" ht="15.75" customHeight="1">
      <c r="A333" s="4">
        <v>332</v>
      </c>
      <c r="B333" s="3">
        <v>21882</v>
      </c>
      <c r="C333" s="4">
        <v>46</v>
      </c>
      <c r="D333" s="13">
        <f t="shared" si="26"/>
        <v>44.824420380876703</v>
      </c>
      <c r="E333" s="13">
        <f t="shared" si="25"/>
        <v>7.4925668088928745</v>
      </c>
      <c r="F333" s="13">
        <f t="shared" si="27"/>
        <v>7.4925668088928745</v>
      </c>
      <c r="G333" s="13">
        <f t="shared" si="28"/>
        <v>56.138557385723153</v>
      </c>
      <c r="H333" s="5">
        <f t="shared" si="29"/>
        <v>0.16288188714984511</v>
      </c>
    </row>
    <row r="334" spans="1:8" ht="15.75" customHeight="1">
      <c r="A334" s="4">
        <v>333</v>
      </c>
      <c r="B334" s="3">
        <v>21883</v>
      </c>
      <c r="C334" s="4">
        <v>44</v>
      </c>
      <c r="D334" s="13">
        <f t="shared" si="26"/>
        <v>44.843504934320116</v>
      </c>
      <c r="E334" s="13">
        <f t="shared" si="25"/>
        <v>5.4925668088928745</v>
      </c>
      <c r="F334" s="13">
        <f t="shared" si="27"/>
        <v>5.4925668088928745</v>
      </c>
      <c r="G334" s="13">
        <f t="shared" si="28"/>
        <v>30.168290150151655</v>
      </c>
      <c r="H334" s="5">
        <f t="shared" si="29"/>
        <v>0.12483106383847442</v>
      </c>
    </row>
    <row r="335" spans="1:8" ht="15.75" customHeight="1">
      <c r="A335" s="4">
        <v>334</v>
      </c>
      <c r="B335" s="3">
        <v>21884</v>
      </c>
      <c r="C335" s="4">
        <v>52</v>
      </c>
      <c r="D335" s="13">
        <f t="shared" si="26"/>
        <v>44.862589487763529</v>
      </c>
      <c r="E335" s="13">
        <f t="shared" si="25"/>
        <v>13.492566808892875</v>
      </c>
      <c r="F335" s="13">
        <f t="shared" si="27"/>
        <v>13.492566808892875</v>
      </c>
      <c r="G335" s="13">
        <f t="shared" si="28"/>
        <v>182.04935909243764</v>
      </c>
      <c r="H335" s="5">
        <f t="shared" si="29"/>
        <v>0.25947243863255526</v>
      </c>
    </row>
    <row r="336" spans="1:8" ht="15.75" customHeight="1">
      <c r="A336" s="4">
        <v>335</v>
      </c>
      <c r="B336" s="3">
        <v>21885</v>
      </c>
      <c r="C336" s="4">
        <v>45</v>
      </c>
      <c r="D336" s="13">
        <f t="shared" si="26"/>
        <v>44.881674041206942</v>
      </c>
      <c r="E336" s="13">
        <f t="shared" si="25"/>
        <v>6.4925668088928745</v>
      </c>
      <c r="F336" s="13">
        <f t="shared" si="27"/>
        <v>6.4925668088928745</v>
      </c>
      <c r="G336" s="13">
        <f t="shared" si="28"/>
        <v>42.153423767937404</v>
      </c>
      <c r="H336" s="5">
        <f t="shared" si="29"/>
        <v>0.14427926241984165</v>
      </c>
    </row>
    <row r="337" spans="1:8" ht="15.75" customHeight="1">
      <c r="A337" s="4">
        <v>336</v>
      </c>
      <c r="B337" s="3">
        <v>21886</v>
      </c>
      <c r="C337" s="4">
        <v>32</v>
      </c>
      <c r="D337" s="13">
        <f t="shared" si="26"/>
        <v>44.900758594650355</v>
      </c>
      <c r="E337" s="13">
        <f t="shared" si="25"/>
        <v>-6.5074331911071255</v>
      </c>
      <c r="F337" s="13">
        <f t="shared" si="27"/>
        <v>6.5074331911071255</v>
      </c>
      <c r="G337" s="13">
        <f t="shared" si="28"/>
        <v>42.346686736722667</v>
      </c>
      <c r="H337" s="5">
        <f t="shared" si="29"/>
        <v>0.20335728722209767</v>
      </c>
    </row>
    <row r="338" spans="1:8" ht="15.75" customHeight="1">
      <c r="A338" s="4">
        <v>337</v>
      </c>
      <c r="B338" s="3">
        <v>21887</v>
      </c>
      <c r="C338" s="4">
        <v>46</v>
      </c>
      <c r="D338" s="13">
        <f t="shared" si="26"/>
        <v>44.919843148093769</v>
      </c>
      <c r="E338" s="13">
        <f t="shared" si="25"/>
        <v>7.4925668088928745</v>
      </c>
      <c r="F338" s="13">
        <f t="shared" si="27"/>
        <v>7.4925668088928745</v>
      </c>
      <c r="G338" s="13">
        <f t="shared" si="28"/>
        <v>56.138557385723153</v>
      </c>
      <c r="H338" s="5">
        <f t="shared" si="29"/>
        <v>0.16288188714984511</v>
      </c>
    </row>
    <row r="339" spans="1:8" ht="15.75" customHeight="1">
      <c r="A339" s="4">
        <v>338</v>
      </c>
      <c r="B339" s="3">
        <v>21888</v>
      </c>
      <c r="C339" s="4">
        <v>41</v>
      </c>
      <c r="D339" s="13">
        <f t="shared" si="26"/>
        <v>44.938927701537182</v>
      </c>
      <c r="E339" s="13">
        <f t="shared" si="25"/>
        <v>2.4925668088928745</v>
      </c>
      <c r="F339" s="13">
        <f t="shared" si="27"/>
        <v>2.4925668088928745</v>
      </c>
      <c r="G339" s="13">
        <f t="shared" si="28"/>
        <v>6.2128892967944074</v>
      </c>
      <c r="H339" s="5">
        <f t="shared" si="29"/>
        <v>6.079431241202133E-2</v>
      </c>
    </row>
    <row r="340" spans="1:8" ht="15.75" customHeight="1">
      <c r="A340" s="4">
        <v>339</v>
      </c>
      <c r="B340" s="3">
        <v>21889</v>
      </c>
      <c r="C340" s="4">
        <v>34</v>
      </c>
      <c r="D340" s="13">
        <f t="shared" si="26"/>
        <v>44.958012254980595</v>
      </c>
      <c r="E340" s="13">
        <f t="shared" si="25"/>
        <v>-4.5074331911071255</v>
      </c>
      <c r="F340" s="13">
        <f t="shared" si="27"/>
        <v>4.5074331911071255</v>
      </c>
      <c r="G340" s="13">
        <f t="shared" si="28"/>
        <v>20.316953972294165</v>
      </c>
      <c r="H340" s="5">
        <f t="shared" si="29"/>
        <v>0.13257156444432722</v>
      </c>
    </row>
    <row r="341" spans="1:8" ht="15.75" customHeight="1">
      <c r="A341" s="4">
        <v>340</v>
      </c>
      <c r="B341" s="3">
        <v>21890</v>
      </c>
      <c r="C341" s="4">
        <v>33</v>
      </c>
      <c r="D341" s="13">
        <f t="shared" si="26"/>
        <v>44.977096808424008</v>
      </c>
      <c r="E341" s="13">
        <f t="shared" si="25"/>
        <v>-5.5074331911071255</v>
      </c>
      <c r="F341" s="13">
        <f t="shared" si="27"/>
        <v>5.5074331911071255</v>
      </c>
      <c r="G341" s="13">
        <f t="shared" si="28"/>
        <v>30.331820354508416</v>
      </c>
      <c r="H341" s="5">
        <f t="shared" si="29"/>
        <v>0.16689191488203411</v>
      </c>
    </row>
    <row r="342" spans="1:8" ht="15.75" customHeight="1">
      <c r="A342" s="4">
        <v>341</v>
      </c>
      <c r="B342" s="3">
        <v>21891</v>
      </c>
      <c r="C342" s="4">
        <v>36</v>
      </c>
      <c r="D342" s="13">
        <f t="shared" si="26"/>
        <v>44.996181361867414</v>
      </c>
      <c r="E342" s="13">
        <f t="shared" si="25"/>
        <v>-2.5074331911071255</v>
      </c>
      <c r="F342" s="13">
        <f t="shared" si="27"/>
        <v>2.5074331911071255</v>
      </c>
      <c r="G342" s="13">
        <f t="shared" si="28"/>
        <v>6.2872212078656622</v>
      </c>
      <c r="H342" s="5">
        <f t="shared" si="29"/>
        <v>6.9650921975197927E-2</v>
      </c>
    </row>
    <row r="343" spans="1:8" ht="15.75" customHeight="1">
      <c r="A343" s="4">
        <v>342</v>
      </c>
      <c r="B343" s="3">
        <v>21892</v>
      </c>
      <c r="C343" s="4">
        <v>49</v>
      </c>
      <c r="D343" s="13">
        <f t="shared" si="26"/>
        <v>45.015265915310835</v>
      </c>
      <c r="E343" s="13">
        <f t="shared" si="25"/>
        <v>10.492566808892875</v>
      </c>
      <c r="F343" s="13">
        <f t="shared" si="27"/>
        <v>10.492566808892875</v>
      </c>
      <c r="G343" s="13">
        <f t="shared" si="28"/>
        <v>110.09395823908039</v>
      </c>
      <c r="H343" s="5">
        <f t="shared" si="29"/>
        <v>0.21413401650801786</v>
      </c>
    </row>
    <row r="344" spans="1:8" ht="15.75" customHeight="1">
      <c r="A344" s="4">
        <v>343</v>
      </c>
      <c r="B344" s="3">
        <v>21893</v>
      </c>
      <c r="C344" s="4">
        <v>43</v>
      </c>
      <c r="D344" s="13">
        <f t="shared" si="26"/>
        <v>45.034350468754241</v>
      </c>
      <c r="E344" s="13">
        <f t="shared" si="25"/>
        <v>4.4925668088928745</v>
      </c>
      <c r="F344" s="13">
        <f t="shared" si="27"/>
        <v>4.4925668088928745</v>
      </c>
      <c r="G344" s="13">
        <f t="shared" si="28"/>
        <v>20.183156532365906</v>
      </c>
      <c r="H344" s="5">
        <f t="shared" si="29"/>
        <v>0.10447829788122964</v>
      </c>
    </row>
    <row r="345" spans="1:8" ht="15.75" customHeight="1">
      <c r="A345" s="4">
        <v>344</v>
      </c>
      <c r="B345" s="3">
        <v>21894</v>
      </c>
      <c r="C345" s="4">
        <v>43</v>
      </c>
      <c r="D345" s="13">
        <f t="shared" si="26"/>
        <v>45.053435022197654</v>
      </c>
      <c r="E345" s="13">
        <f t="shared" si="25"/>
        <v>4.4925668088928745</v>
      </c>
      <c r="F345" s="13">
        <f t="shared" si="27"/>
        <v>4.4925668088928745</v>
      </c>
      <c r="G345" s="13">
        <f t="shared" si="28"/>
        <v>20.183156532365906</v>
      </c>
      <c r="H345" s="5">
        <f t="shared" si="29"/>
        <v>0.10447829788122964</v>
      </c>
    </row>
    <row r="346" spans="1:8" ht="15.75" customHeight="1">
      <c r="A346" s="4">
        <v>345</v>
      </c>
      <c r="B346" s="3">
        <v>21895</v>
      </c>
      <c r="C346" s="4">
        <v>34</v>
      </c>
      <c r="D346" s="13">
        <f t="shared" si="26"/>
        <v>45.072519575641067</v>
      </c>
      <c r="E346" s="13">
        <f t="shared" si="25"/>
        <v>-4.5074331911071255</v>
      </c>
      <c r="F346" s="13">
        <f t="shared" si="27"/>
        <v>4.5074331911071255</v>
      </c>
      <c r="G346" s="13">
        <f t="shared" si="28"/>
        <v>20.316953972294165</v>
      </c>
      <c r="H346" s="5">
        <f t="shared" si="29"/>
        <v>0.13257156444432722</v>
      </c>
    </row>
    <row r="347" spans="1:8" ht="15.75" customHeight="1">
      <c r="A347" s="4">
        <v>346</v>
      </c>
      <c r="B347" s="3">
        <v>21896</v>
      </c>
      <c r="C347" s="4">
        <v>39</v>
      </c>
      <c r="D347" s="13">
        <f t="shared" si="26"/>
        <v>45.09160412908448</v>
      </c>
      <c r="E347" s="13">
        <f t="shared" si="25"/>
        <v>0.49256680889287452</v>
      </c>
      <c r="F347" s="13">
        <f t="shared" si="27"/>
        <v>0.49256680889287452</v>
      </c>
      <c r="G347" s="13">
        <f t="shared" si="28"/>
        <v>0.24262206122290958</v>
      </c>
      <c r="H347" s="5">
        <f t="shared" si="29"/>
        <v>1.2629918176740373E-2</v>
      </c>
    </row>
    <row r="348" spans="1:8" ht="15.75" customHeight="1">
      <c r="A348" s="4">
        <v>347</v>
      </c>
      <c r="B348" s="3">
        <v>21897</v>
      </c>
      <c r="C348" s="4">
        <v>35</v>
      </c>
      <c r="D348" s="13">
        <f t="shared" si="26"/>
        <v>45.110688682527893</v>
      </c>
      <c r="E348" s="13">
        <f t="shared" si="25"/>
        <v>-3.5074331911071255</v>
      </c>
      <c r="F348" s="13">
        <f t="shared" si="27"/>
        <v>3.5074331911071255</v>
      </c>
      <c r="G348" s="13">
        <f t="shared" si="28"/>
        <v>12.302087590079914</v>
      </c>
      <c r="H348" s="5">
        <f t="shared" si="29"/>
        <v>0.10021237688877502</v>
      </c>
    </row>
    <row r="349" spans="1:8" ht="15.75" customHeight="1">
      <c r="A349" s="4">
        <v>348</v>
      </c>
      <c r="B349" s="3">
        <v>21898</v>
      </c>
      <c r="C349" s="4">
        <v>52</v>
      </c>
      <c r="D349" s="13">
        <f t="shared" si="26"/>
        <v>45.129773235971307</v>
      </c>
      <c r="E349" s="13">
        <f t="shared" si="25"/>
        <v>13.492566808892875</v>
      </c>
      <c r="F349" s="13">
        <f t="shared" si="27"/>
        <v>13.492566808892875</v>
      </c>
      <c r="G349" s="13">
        <f t="shared" si="28"/>
        <v>182.04935909243764</v>
      </c>
      <c r="H349" s="5">
        <f t="shared" si="29"/>
        <v>0.25947243863255526</v>
      </c>
    </row>
    <row r="350" spans="1:8" ht="15.75" customHeight="1">
      <c r="A350" s="4">
        <v>349</v>
      </c>
      <c r="B350" s="3">
        <v>21899</v>
      </c>
      <c r="C350" s="4">
        <v>47</v>
      </c>
      <c r="D350" s="13">
        <f t="shared" si="26"/>
        <v>45.14885778941472</v>
      </c>
      <c r="E350" s="13">
        <f t="shared" si="25"/>
        <v>8.4925668088928745</v>
      </c>
      <c r="F350" s="13">
        <f t="shared" si="27"/>
        <v>8.4925668088928745</v>
      </c>
      <c r="G350" s="13">
        <f t="shared" si="28"/>
        <v>72.123691003508895</v>
      </c>
      <c r="H350" s="5">
        <f t="shared" si="29"/>
        <v>0.18069291082750796</v>
      </c>
    </row>
    <row r="351" spans="1:8" ht="15.75" customHeight="1">
      <c r="A351" s="4">
        <v>350</v>
      </c>
      <c r="B351" s="3">
        <v>21900</v>
      </c>
      <c r="C351" s="4">
        <v>52</v>
      </c>
      <c r="D351" s="13">
        <f t="shared" si="26"/>
        <v>45.167942342858133</v>
      </c>
      <c r="E351" s="13">
        <f t="shared" si="25"/>
        <v>13.492566808892875</v>
      </c>
      <c r="F351" s="13">
        <f t="shared" si="27"/>
        <v>13.492566808892875</v>
      </c>
      <c r="G351" s="13">
        <f t="shared" si="28"/>
        <v>182.04935909243764</v>
      </c>
      <c r="H351" s="5">
        <f t="shared" si="29"/>
        <v>0.25947243863255526</v>
      </c>
    </row>
    <row r="352" spans="1:8" ht="15.75" customHeight="1">
      <c r="A352" s="4">
        <v>351</v>
      </c>
      <c r="B352" s="3">
        <v>21901</v>
      </c>
      <c r="C352" s="4">
        <v>39</v>
      </c>
      <c r="D352" s="13">
        <f t="shared" si="26"/>
        <v>45.187026896301546</v>
      </c>
      <c r="E352" s="13">
        <f t="shared" si="25"/>
        <v>0.49256680889287452</v>
      </c>
      <c r="F352" s="13">
        <f t="shared" si="27"/>
        <v>0.49256680889287452</v>
      </c>
      <c r="G352" s="13">
        <f t="shared" si="28"/>
        <v>0.24262206122290958</v>
      </c>
      <c r="H352" s="5">
        <f t="shared" si="29"/>
        <v>1.2629918176740373E-2</v>
      </c>
    </row>
    <row r="353" spans="1:8" ht="15.75" customHeight="1">
      <c r="A353" s="4">
        <v>352</v>
      </c>
      <c r="B353" s="3">
        <v>21902</v>
      </c>
      <c r="C353" s="4">
        <v>40</v>
      </c>
      <c r="D353" s="13">
        <f t="shared" si="26"/>
        <v>45.206111449744959</v>
      </c>
      <c r="E353" s="13">
        <f t="shared" si="25"/>
        <v>1.4925668088928745</v>
      </c>
      <c r="F353" s="13">
        <f t="shared" si="27"/>
        <v>1.4925668088928745</v>
      </c>
      <c r="G353" s="13">
        <f t="shared" si="28"/>
        <v>2.2277556790086588</v>
      </c>
      <c r="H353" s="5">
        <f t="shared" si="29"/>
        <v>3.7314170222321863E-2</v>
      </c>
    </row>
    <row r="354" spans="1:8" ht="15.75" customHeight="1">
      <c r="A354" s="4">
        <v>353</v>
      </c>
      <c r="B354" s="3">
        <v>21903</v>
      </c>
      <c r="C354" s="4">
        <v>42</v>
      </c>
      <c r="D354" s="13">
        <f t="shared" si="26"/>
        <v>45.225196003188373</v>
      </c>
      <c r="E354" s="13">
        <f t="shared" si="25"/>
        <v>3.4925668088928745</v>
      </c>
      <c r="F354" s="13">
        <f t="shared" si="27"/>
        <v>3.4925668088928745</v>
      </c>
      <c r="G354" s="13">
        <f t="shared" si="28"/>
        <v>12.198022914580157</v>
      </c>
      <c r="H354" s="5">
        <f t="shared" si="29"/>
        <v>8.3156352592687485E-2</v>
      </c>
    </row>
    <row r="355" spans="1:8" ht="15.75" customHeight="1">
      <c r="A355" s="4">
        <v>354</v>
      </c>
      <c r="B355" s="3">
        <v>21904</v>
      </c>
      <c r="C355" s="4">
        <v>42</v>
      </c>
      <c r="D355" s="13">
        <f t="shared" si="26"/>
        <v>45.244280556631779</v>
      </c>
      <c r="E355" s="13">
        <f t="shared" si="25"/>
        <v>3.4925668088928745</v>
      </c>
      <c r="F355" s="13">
        <f t="shared" si="27"/>
        <v>3.4925668088928745</v>
      </c>
      <c r="G355" s="13">
        <f t="shared" si="28"/>
        <v>12.198022914580157</v>
      </c>
      <c r="H355" s="5">
        <f t="shared" si="29"/>
        <v>8.3156352592687485E-2</v>
      </c>
    </row>
    <row r="356" spans="1:8" ht="15.75" customHeight="1">
      <c r="A356" s="4">
        <v>355</v>
      </c>
      <c r="B356" s="3">
        <v>21905</v>
      </c>
      <c r="C356" s="4">
        <v>53</v>
      </c>
      <c r="D356" s="13">
        <f t="shared" si="26"/>
        <v>45.263365110075192</v>
      </c>
      <c r="E356" s="13">
        <f t="shared" si="25"/>
        <v>14.492566808892875</v>
      </c>
      <c r="F356" s="13">
        <f t="shared" si="27"/>
        <v>14.492566808892875</v>
      </c>
      <c r="G356" s="13">
        <f t="shared" si="28"/>
        <v>210.03449271022339</v>
      </c>
      <c r="H356" s="5">
        <f t="shared" si="29"/>
        <v>0.27344465677156365</v>
      </c>
    </row>
    <row r="357" spans="1:8" ht="15.75" customHeight="1">
      <c r="A357" s="4">
        <v>356</v>
      </c>
      <c r="B357" s="3">
        <v>21906</v>
      </c>
      <c r="C357" s="4">
        <v>39</v>
      </c>
      <c r="D357" s="13">
        <f t="shared" si="26"/>
        <v>45.282449663518605</v>
      </c>
      <c r="E357" s="13">
        <f t="shared" si="25"/>
        <v>0.49256680889287452</v>
      </c>
      <c r="F357" s="13">
        <f t="shared" si="27"/>
        <v>0.49256680889287452</v>
      </c>
      <c r="G357" s="13">
        <f t="shared" si="28"/>
        <v>0.24262206122290958</v>
      </c>
      <c r="H357" s="5">
        <f t="shared" si="29"/>
        <v>1.2629918176740373E-2</v>
      </c>
    </row>
    <row r="358" spans="1:8" ht="15.75" customHeight="1">
      <c r="A358" s="4">
        <v>357</v>
      </c>
      <c r="B358" s="3">
        <v>21907</v>
      </c>
      <c r="C358" s="4">
        <v>40</v>
      </c>
      <c r="D358" s="13">
        <f t="shared" si="26"/>
        <v>45.301534216962018</v>
      </c>
      <c r="E358" s="13">
        <f t="shared" si="25"/>
        <v>1.4925668088928745</v>
      </c>
      <c r="F358" s="13">
        <f t="shared" si="27"/>
        <v>1.4925668088928745</v>
      </c>
      <c r="G358" s="13">
        <f t="shared" si="28"/>
        <v>2.2277556790086588</v>
      </c>
      <c r="H358" s="5">
        <f t="shared" si="29"/>
        <v>3.7314170222321863E-2</v>
      </c>
    </row>
    <row r="359" spans="1:8" ht="15.75" customHeight="1">
      <c r="A359" s="4">
        <v>358</v>
      </c>
      <c r="B359" s="3">
        <v>21908</v>
      </c>
      <c r="C359" s="4">
        <v>38</v>
      </c>
      <c r="D359" s="13">
        <f t="shared" si="26"/>
        <v>45.320618770405432</v>
      </c>
      <c r="E359" s="13">
        <f t="shared" si="25"/>
        <v>-0.50743319110712548</v>
      </c>
      <c r="F359" s="13">
        <f t="shared" si="27"/>
        <v>0.50743319110712548</v>
      </c>
      <c r="G359" s="13">
        <f t="shared" si="28"/>
        <v>0.25748844343716054</v>
      </c>
      <c r="H359" s="5">
        <f t="shared" si="29"/>
        <v>1.3353505029134882E-2</v>
      </c>
    </row>
    <row r="360" spans="1:8" ht="15.75" customHeight="1">
      <c r="A360" s="4">
        <v>359</v>
      </c>
      <c r="B360" s="3">
        <v>21909</v>
      </c>
      <c r="C360" s="4">
        <v>44</v>
      </c>
      <c r="D360" s="13">
        <f t="shared" si="26"/>
        <v>45.339703323848845</v>
      </c>
      <c r="E360" s="13">
        <f t="shared" si="25"/>
        <v>5.4925668088928745</v>
      </c>
      <c r="F360" s="13">
        <f t="shared" si="27"/>
        <v>5.4925668088928745</v>
      </c>
      <c r="G360" s="13">
        <f t="shared" si="28"/>
        <v>30.168290150151655</v>
      </c>
      <c r="H360" s="5">
        <f t="shared" si="29"/>
        <v>0.12483106383847442</v>
      </c>
    </row>
    <row r="361" spans="1:8" ht="15.75" customHeight="1">
      <c r="A361" s="4">
        <v>360</v>
      </c>
      <c r="B361" s="3">
        <v>21910</v>
      </c>
      <c r="C361" s="4">
        <v>34</v>
      </c>
      <c r="D361" s="13">
        <f t="shared" si="26"/>
        <v>45.358787877292258</v>
      </c>
      <c r="E361" s="13">
        <f t="shared" si="25"/>
        <v>-4.5074331911071255</v>
      </c>
      <c r="F361" s="13">
        <f t="shared" si="27"/>
        <v>4.5074331911071255</v>
      </c>
      <c r="G361" s="13">
        <f t="shared" si="28"/>
        <v>20.316953972294165</v>
      </c>
      <c r="H361" s="5">
        <f t="shared" si="29"/>
        <v>0.13257156444432722</v>
      </c>
    </row>
    <row r="362" spans="1:8" ht="15.75" customHeight="1">
      <c r="A362" s="4">
        <v>361</v>
      </c>
      <c r="B362" s="3">
        <v>21911</v>
      </c>
      <c r="C362" s="4">
        <v>37</v>
      </c>
      <c r="D362" s="13">
        <f t="shared" si="26"/>
        <v>45.377872430735671</v>
      </c>
      <c r="E362" s="13">
        <f t="shared" si="25"/>
        <v>-1.5074331911071255</v>
      </c>
      <c r="F362" s="13">
        <f t="shared" si="27"/>
        <v>1.5074331911071255</v>
      </c>
      <c r="G362" s="13">
        <f t="shared" si="28"/>
        <v>2.2723548256514117</v>
      </c>
      <c r="H362" s="5">
        <f t="shared" si="29"/>
        <v>4.0741437597489875E-2</v>
      </c>
    </row>
    <row r="363" spans="1:8" ht="15.75" customHeight="1">
      <c r="A363" s="4">
        <v>362</v>
      </c>
      <c r="B363" s="3">
        <v>21912</v>
      </c>
      <c r="C363" s="4">
        <v>52</v>
      </c>
      <c r="D363" s="13">
        <f t="shared" si="26"/>
        <v>45.396956984179084</v>
      </c>
      <c r="E363" s="13">
        <f t="shared" si="25"/>
        <v>13.492566808892875</v>
      </c>
      <c r="F363" s="13">
        <f t="shared" si="27"/>
        <v>13.492566808892875</v>
      </c>
      <c r="G363" s="13">
        <f t="shared" si="28"/>
        <v>182.04935909243764</v>
      </c>
      <c r="H363" s="5">
        <f t="shared" si="29"/>
        <v>0.25947243863255526</v>
      </c>
    </row>
    <row r="364" spans="1:8" ht="15.75" customHeight="1">
      <c r="A364" s="4">
        <v>363</v>
      </c>
      <c r="B364" s="3">
        <v>21913</v>
      </c>
      <c r="C364" s="4">
        <v>48</v>
      </c>
      <c r="D364" s="13">
        <f t="shared" si="26"/>
        <v>45.416041537622498</v>
      </c>
      <c r="E364" s="13">
        <f t="shared" si="25"/>
        <v>9.4925668088928745</v>
      </c>
      <c r="F364" s="13">
        <f t="shared" si="27"/>
        <v>9.4925668088928745</v>
      </c>
      <c r="G364" s="13">
        <f t="shared" si="28"/>
        <v>90.108824621294644</v>
      </c>
      <c r="H364" s="5">
        <f t="shared" si="29"/>
        <v>0.19776180851860156</v>
      </c>
    </row>
    <row r="365" spans="1:8" ht="15.75" customHeight="1">
      <c r="A365" s="4">
        <v>364</v>
      </c>
      <c r="B365" s="3">
        <v>21914</v>
      </c>
      <c r="C365" s="4">
        <v>55</v>
      </c>
      <c r="D365" s="13">
        <f t="shared" si="26"/>
        <v>45.435126091065911</v>
      </c>
      <c r="E365" s="13">
        <f t="shared" si="25"/>
        <v>16.492566808892875</v>
      </c>
      <c r="F365" s="13">
        <f t="shared" si="27"/>
        <v>16.492566808892875</v>
      </c>
      <c r="G365" s="13">
        <f t="shared" si="28"/>
        <v>272.00475994579489</v>
      </c>
      <c r="H365" s="5">
        <f t="shared" si="29"/>
        <v>0.29986485107077954</v>
      </c>
    </row>
    <row r="366" spans="1:8" ht="15.75" customHeight="1">
      <c r="A366" s="4">
        <v>365</v>
      </c>
      <c r="B366" s="3">
        <v>21915</v>
      </c>
      <c r="C366" s="4">
        <v>50</v>
      </c>
      <c r="D366" s="13">
        <f t="shared" si="26"/>
        <v>45.454210644509324</v>
      </c>
      <c r="E366" s="13">
        <f t="shared" si="25"/>
        <v>11.492566808892875</v>
      </c>
      <c r="F366" s="13">
        <f t="shared" si="27"/>
        <v>11.492566808892875</v>
      </c>
      <c r="G366" s="13">
        <f t="shared" si="28"/>
        <v>132.07909185686614</v>
      </c>
      <c r="H366" s="5">
        <f t="shared" si="29"/>
        <v>0.2298513361778575</v>
      </c>
    </row>
    <row r="367" spans="1:8" ht="15.75" customHeight="1">
      <c r="D367" s="13"/>
      <c r="E367" s="8"/>
    </row>
    <row r="368" spans="1:8" ht="15.75" customHeight="1">
      <c r="D368" s="13"/>
      <c r="E368" s="8"/>
    </row>
    <row r="369" spans="4:5" ht="15.75" customHeight="1">
      <c r="D369" s="13"/>
      <c r="E369" s="8"/>
    </row>
    <row r="370" spans="4:5" ht="15.75" customHeight="1">
      <c r="D370" s="13"/>
      <c r="E370" s="8"/>
    </row>
    <row r="371" spans="4:5" ht="15.75" customHeight="1">
      <c r="D371" s="13"/>
      <c r="E371" s="8"/>
    </row>
    <row r="372" spans="4:5" ht="15.75" customHeight="1">
      <c r="D372" s="13"/>
      <c r="E372" s="8"/>
    </row>
    <row r="373" spans="4:5" ht="15.75" customHeight="1">
      <c r="D373" s="13"/>
      <c r="E373" s="8"/>
    </row>
    <row r="374" spans="4:5" ht="15.75" customHeight="1">
      <c r="D374" s="13"/>
      <c r="E374" s="8"/>
    </row>
    <row r="375" spans="4:5" ht="15.75" customHeight="1">
      <c r="D375" s="13"/>
      <c r="E375" s="8"/>
    </row>
    <row r="376" spans="4:5" ht="15.75" customHeight="1">
      <c r="D376" s="13"/>
      <c r="E376" s="8"/>
    </row>
    <row r="377" spans="4:5" ht="15.75" customHeight="1">
      <c r="D377" s="13"/>
      <c r="E377" s="8"/>
    </row>
    <row r="378" spans="4:5" ht="15.75" customHeight="1">
      <c r="D378" s="13"/>
      <c r="E378" s="8"/>
    </row>
    <row r="379" spans="4:5" ht="15.75" customHeight="1">
      <c r="D379" s="13"/>
      <c r="E379" s="8"/>
    </row>
    <row r="380" spans="4:5" ht="15.75" customHeight="1">
      <c r="D380" s="13"/>
      <c r="E380" s="8"/>
    </row>
    <row r="381" spans="4:5" ht="15.75" customHeight="1">
      <c r="D381" s="13"/>
      <c r="E381" s="8"/>
    </row>
    <row r="382" spans="4:5" ht="15.75" customHeight="1">
      <c r="D382" s="13"/>
      <c r="E382" s="8"/>
    </row>
    <row r="383" spans="4:5" ht="15.75" customHeight="1">
      <c r="D383" s="13"/>
      <c r="E383" s="8"/>
    </row>
    <row r="384" spans="4:5" ht="15.75" customHeight="1">
      <c r="D384" s="13"/>
      <c r="E384" s="8"/>
    </row>
    <row r="385" spans="4:5" ht="15.75" customHeight="1">
      <c r="D385" s="13"/>
      <c r="E385" s="8"/>
    </row>
    <row r="386" spans="4:5" ht="15.75" customHeight="1">
      <c r="D386" s="13"/>
      <c r="E386" s="8"/>
    </row>
    <row r="387" spans="4:5" ht="15.75" customHeight="1">
      <c r="D387" s="13"/>
      <c r="E387" s="8"/>
    </row>
    <row r="388" spans="4:5" ht="15.75" customHeight="1">
      <c r="D388" s="13"/>
      <c r="E388" s="8"/>
    </row>
    <row r="389" spans="4:5" ht="15.75" customHeight="1">
      <c r="D389" s="13"/>
      <c r="E389" s="8"/>
    </row>
    <row r="390" spans="4:5" ht="15.75" customHeight="1">
      <c r="D390" s="13"/>
      <c r="E390" s="8"/>
    </row>
    <row r="391" spans="4:5" ht="15.75" customHeight="1">
      <c r="D391" s="13"/>
      <c r="E391" s="8"/>
    </row>
    <row r="392" spans="4:5" ht="15.75" customHeight="1">
      <c r="D392" s="13"/>
      <c r="E392" s="8"/>
    </row>
    <row r="393" spans="4:5" ht="15.75" customHeight="1">
      <c r="D393" s="13"/>
      <c r="E393" s="8"/>
    </row>
    <row r="394" spans="4:5" ht="15.75" customHeight="1">
      <c r="D394" s="13"/>
      <c r="E394" s="8"/>
    </row>
    <row r="395" spans="4:5" ht="15.75" customHeight="1">
      <c r="D395" s="13"/>
      <c r="E395" s="8"/>
    </row>
    <row r="396" spans="4:5" ht="15.75" customHeight="1">
      <c r="D396" s="13"/>
      <c r="E396" s="8"/>
    </row>
    <row r="397" spans="4:5" ht="15.75" customHeight="1">
      <c r="D397" s="13"/>
      <c r="E397" s="8"/>
    </row>
    <row r="398" spans="4:5" ht="15.75" customHeight="1">
      <c r="D398" s="13"/>
      <c r="E398" s="8"/>
    </row>
    <row r="399" spans="4:5" ht="15.75" customHeight="1">
      <c r="D399" s="13"/>
      <c r="E399" s="8"/>
    </row>
    <row r="400" spans="4:5" ht="15.75" customHeight="1">
      <c r="D400" s="13"/>
      <c r="E400" s="8"/>
    </row>
    <row r="401" spans="4:5" ht="15.75" customHeight="1">
      <c r="D401" s="13"/>
      <c r="E401" s="8"/>
    </row>
    <row r="402" spans="4:5" ht="15.75" customHeight="1">
      <c r="D402" s="13"/>
      <c r="E402" s="8"/>
    </row>
    <row r="403" spans="4:5" ht="15.75" customHeight="1">
      <c r="D403" s="13"/>
      <c r="E403" s="8"/>
    </row>
    <row r="404" spans="4:5" ht="15.75" customHeight="1">
      <c r="D404" s="13"/>
      <c r="E404" s="8"/>
    </row>
    <row r="405" spans="4:5" ht="15.75" customHeight="1">
      <c r="D405" s="13"/>
      <c r="E405" s="8"/>
    </row>
    <row r="406" spans="4:5" ht="15.75" customHeight="1">
      <c r="D406" s="13"/>
      <c r="E406" s="8"/>
    </row>
    <row r="407" spans="4:5" ht="15.75" customHeight="1">
      <c r="D407" s="13"/>
      <c r="E407" s="8"/>
    </row>
    <row r="408" spans="4:5" ht="15.75" customHeight="1">
      <c r="D408" s="13"/>
      <c r="E408" s="8"/>
    </row>
    <row r="409" spans="4:5" ht="15.75" customHeight="1">
      <c r="D409" s="13"/>
      <c r="E409" s="8"/>
    </row>
    <row r="410" spans="4:5" ht="15.75" customHeight="1">
      <c r="D410" s="13"/>
      <c r="E410" s="8"/>
    </row>
    <row r="411" spans="4:5" ht="15.75" customHeight="1">
      <c r="D411" s="13"/>
      <c r="E411" s="8"/>
    </row>
    <row r="412" spans="4:5" ht="15.75" customHeight="1">
      <c r="D412" s="13"/>
      <c r="E412" s="8"/>
    </row>
    <row r="413" spans="4:5" ht="15.75" customHeight="1">
      <c r="D413" s="13"/>
      <c r="E413" s="8"/>
    </row>
    <row r="414" spans="4:5" ht="15.75" customHeight="1">
      <c r="D414" s="13"/>
      <c r="E414" s="8"/>
    </row>
    <row r="415" spans="4:5" ht="15.75" customHeight="1">
      <c r="D415" s="13"/>
      <c r="E415" s="8"/>
    </row>
    <row r="416" spans="4:5" ht="15.75" customHeight="1">
      <c r="D416" s="13"/>
      <c r="E416" s="8"/>
    </row>
    <row r="417" spans="4:5" ht="15.75" customHeight="1">
      <c r="D417" s="13"/>
      <c r="E417" s="8"/>
    </row>
    <row r="418" spans="4:5" ht="15.75" customHeight="1">
      <c r="D418" s="13"/>
      <c r="E418" s="8"/>
    </row>
    <row r="419" spans="4:5" ht="15.75" customHeight="1">
      <c r="D419" s="13"/>
      <c r="E419" s="8"/>
    </row>
    <row r="420" spans="4:5" ht="15.75" customHeight="1">
      <c r="D420" s="13"/>
      <c r="E420" s="8"/>
    </row>
    <row r="421" spans="4:5" ht="15.75" customHeight="1">
      <c r="D421" s="13"/>
      <c r="E421" s="8"/>
    </row>
    <row r="422" spans="4:5" ht="15.75" customHeight="1">
      <c r="D422" s="13"/>
      <c r="E422" s="8"/>
    </row>
    <row r="423" spans="4:5" ht="15.75" customHeight="1">
      <c r="D423" s="13"/>
      <c r="E423" s="8"/>
    </row>
    <row r="424" spans="4:5" ht="15.75" customHeight="1">
      <c r="D424" s="13"/>
      <c r="E424" s="8"/>
    </row>
    <row r="425" spans="4:5" ht="15.75" customHeight="1">
      <c r="D425" s="13"/>
      <c r="E425" s="8"/>
    </row>
    <row r="426" spans="4:5" ht="15.75" customHeight="1">
      <c r="D426" s="13"/>
      <c r="E426" s="8"/>
    </row>
    <row r="427" spans="4:5" ht="15.75" customHeight="1">
      <c r="D427" s="13"/>
      <c r="E427" s="8"/>
    </row>
    <row r="428" spans="4:5" ht="15.75" customHeight="1">
      <c r="D428" s="13"/>
      <c r="E428" s="8"/>
    </row>
    <row r="429" spans="4:5" ht="15.75" customHeight="1">
      <c r="D429" s="13"/>
      <c r="E429" s="8"/>
    </row>
    <row r="430" spans="4:5" ht="15.75" customHeight="1">
      <c r="D430" s="13"/>
      <c r="E430" s="8"/>
    </row>
    <row r="431" spans="4:5" ht="15.75" customHeight="1">
      <c r="D431" s="13"/>
      <c r="E431" s="8"/>
    </row>
    <row r="432" spans="4:5" ht="15.75" customHeight="1">
      <c r="D432" s="13"/>
      <c r="E432" s="8"/>
    </row>
    <row r="433" spans="4:5" ht="15.75" customHeight="1">
      <c r="D433" s="13"/>
      <c r="E433" s="8"/>
    </row>
    <row r="434" spans="4:5" ht="15.75" customHeight="1">
      <c r="D434" s="13"/>
      <c r="E434" s="8"/>
    </row>
    <row r="435" spans="4:5" ht="15.75" customHeight="1">
      <c r="D435" s="13"/>
      <c r="E435" s="8"/>
    </row>
    <row r="436" spans="4:5" ht="15.75" customHeight="1">
      <c r="D436" s="13"/>
      <c r="E436" s="8"/>
    </row>
    <row r="437" spans="4:5" ht="15.75" customHeight="1">
      <c r="D437" s="13"/>
      <c r="E437" s="8"/>
    </row>
    <row r="438" spans="4:5" ht="15.75" customHeight="1">
      <c r="D438" s="13"/>
      <c r="E438" s="8"/>
    </row>
    <row r="439" spans="4:5" ht="15.75" customHeight="1">
      <c r="D439" s="13"/>
      <c r="E439" s="8"/>
    </row>
    <row r="440" spans="4:5" ht="15.75" customHeight="1">
      <c r="D440" s="13"/>
      <c r="E440" s="8"/>
    </row>
    <row r="441" spans="4:5" ht="15.75" customHeight="1">
      <c r="D441" s="13"/>
      <c r="E441" s="8"/>
    </row>
    <row r="442" spans="4:5" ht="15.75" customHeight="1">
      <c r="D442" s="13"/>
      <c r="E442" s="8"/>
    </row>
    <row r="443" spans="4:5" ht="15.75" customHeight="1">
      <c r="D443" s="13"/>
      <c r="E443" s="8"/>
    </row>
    <row r="444" spans="4:5" ht="15.75" customHeight="1">
      <c r="D444" s="13"/>
      <c r="E444" s="8"/>
    </row>
    <row r="445" spans="4:5" ht="15.75" customHeight="1">
      <c r="D445" s="13"/>
      <c r="E445" s="8"/>
    </row>
    <row r="446" spans="4:5" ht="15.75" customHeight="1">
      <c r="D446" s="13"/>
      <c r="E446" s="8"/>
    </row>
    <row r="447" spans="4:5" ht="15.75" customHeight="1">
      <c r="D447" s="13"/>
      <c r="E447" s="8"/>
    </row>
    <row r="448" spans="4:5" ht="15.75" customHeight="1">
      <c r="D448" s="13"/>
      <c r="E448" s="8"/>
    </row>
    <row r="449" spans="4:5" ht="15.75" customHeight="1">
      <c r="D449" s="13"/>
      <c r="E449" s="8"/>
    </row>
    <row r="450" spans="4:5" ht="15.75" customHeight="1">
      <c r="D450" s="13"/>
      <c r="E450" s="8"/>
    </row>
    <row r="451" spans="4:5" ht="15.75" customHeight="1">
      <c r="D451" s="13"/>
      <c r="E451" s="8"/>
    </row>
    <row r="452" spans="4:5" ht="15.75" customHeight="1">
      <c r="D452" s="13"/>
      <c r="E452" s="8"/>
    </row>
    <row r="453" spans="4:5" ht="15.75" customHeight="1">
      <c r="D453" s="13"/>
      <c r="E453" s="8"/>
    </row>
    <row r="454" spans="4:5" ht="15.75" customHeight="1">
      <c r="D454" s="13"/>
      <c r="E454" s="8"/>
    </row>
    <row r="455" spans="4:5" ht="15.75" customHeight="1">
      <c r="D455" s="13"/>
      <c r="E455" s="8"/>
    </row>
    <row r="456" spans="4:5" ht="15.75" customHeight="1">
      <c r="D456" s="13"/>
      <c r="E456" s="8"/>
    </row>
    <row r="457" spans="4:5" ht="15.75" customHeight="1">
      <c r="D457" s="13"/>
      <c r="E457" s="8"/>
    </row>
    <row r="458" spans="4:5" ht="15.75" customHeight="1">
      <c r="D458" s="13"/>
      <c r="E458" s="8"/>
    </row>
    <row r="459" spans="4:5" ht="15.75" customHeight="1">
      <c r="D459" s="13"/>
      <c r="E459" s="8"/>
    </row>
    <row r="460" spans="4:5" ht="15.75" customHeight="1">
      <c r="D460" s="13"/>
      <c r="E460" s="8"/>
    </row>
    <row r="461" spans="4:5" ht="15.75" customHeight="1">
      <c r="D461" s="13"/>
      <c r="E461" s="8"/>
    </row>
    <row r="462" spans="4:5" ht="15.75" customHeight="1">
      <c r="D462" s="13"/>
      <c r="E462" s="8"/>
    </row>
    <row r="463" spans="4:5" ht="15.75" customHeight="1">
      <c r="D463" s="13"/>
      <c r="E463" s="8"/>
    </row>
    <row r="464" spans="4:5" ht="15.75" customHeight="1">
      <c r="D464" s="13"/>
      <c r="E464" s="8"/>
    </row>
    <row r="465" spans="4:5" ht="15.75" customHeight="1">
      <c r="D465" s="13"/>
      <c r="E465" s="8"/>
    </row>
    <row r="466" spans="4:5" ht="15.75" customHeight="1">
      <c r="D466" s="13"/>
      <c r="E466" s="8"/>
    </row>
    <row r="467" spans="4:5" ht="15.75" customHeight="1">
      <c r="D467" s="13"/>
      <c r="E467" s="8"/>
    </row>
    <row r="468" spans="4:5" ht="15.75" customHeight="1">
      <c r="D468" s="13"/>
      <c r="E468" s="8"/>
    </row>
    <row r="469" spans="4:5" ht="15.75" customHeight="1">
      <c r="D469" s="13"/>
      <c r="E469" s="8"/>
    </row>
    <row r="470" spans="4:5" ht="15.75" customHeight="1">
      <c r="D470" s="13"/>
      <c r="E470" s="8"/>
    </row>
    <row r="471" spans="4:5" ht="15.75" customHeight="1">
      <c r="D471" s="13"/>
      <c r="E471" s="8"/>
    </row>
    <row r="472" spans="4:5" ht="15.75" customHeight="1">
      <c r="D472" s="13"/>
      <c r="E472" s="8"/>
    </row>
    <row r="473" spans="4:5" ht="15.75" customHeight="1">
      <c r="D473" s="13"/>
      <c r="E473" s="8"/>
    </row>
    <row r="474" spans="4:5" ht="15.75" customHeight="1">
      <c r="D474" s="13"/>
      <c r="E474" s="8"/>
    </row>
    <row r="475" spans="4:5" ht="15.75" customHeight="1">
      <c r="D475" s="13"/>
      <c r="E475" s="8"/>
    </row>
    <row r="476" spans="4:5" ht="15.75" customHeight="1">
      <c r="D476" s="13"/>
      <c r="E476" s="8"/>
    </row>
    <row r="477" spans="4:5" ht="15.75" customHeight="1">
      <c r="D477" s="13"/>
      <c r="E477" s="8"/>
    </row>
    <row r="478" spans="4:5" ht="15.75" customHeight="1">
      <c r="D478" s="13"/>
      <c r="E478" s="8"/>
    </row>
    <row r="479" spans="4:5" ht="15.75" customHeight="1">
      <c r="D479" s="13"/>
      <c r="E479" s="8"/>
    </row>
    <row r="480" spans="4:5" ht="15.75" customHeight="1">
      <c r="D480" s="13"/>
      <c r="E480" s="8"/>
    </row>
    <row r="481" spans="4:5" ht="15.75" customHeight="1">
      <c r="D481" s="13"/>
      <c r="E481" s="8"/>
    </row>
    <row r="482" spans="4:5" ht="15.75" customHeight="1">
      <c r="D482" s="13"/>
      <c r="E482" s="8"/>
    </row>
    <row r="483" spans="4:5" ht="15.75" customHeight="1">
      <c r="D483" s="13"/>
      <c r="E483" s="8"/>
    </row>
    <row r="484" spans="4:5" ht="15.75" customHeight="1">
      <c r="D484" s="13"/>
      <c r="E484" s="8"/>
    </row>
    <row r="485" spans="4:5" ht="15.75" customHeight="1">
      <c r="D485" s="13"/>
      <c r="E485" s="8"/>
    </row>
    <row r="486" spans="4:5" ht="15.75" customHeight="1">
      <c r="D486" s="13"/>
      <c r="E486" s="8"/>
    </row>
    <row r="487" spans="4:5" ht="15.75" customHeight="1">
      <c r="D487" s="13"/>
      <c r="E487" s="8"/>
    </row>
    <row r="488" spans="4:5" ht="15.75" customHeight="1">
      <c r="D488" s="13"/>
      <c r="E488" s="8"/>
    </row>
    <row r="489" spans="4:5" ht="15.75" customHeight="1">
      <c r="D489" s="13"/>
      <c r="E489" s="8"/>
    </row>
    <row r="490" spans="4:5" ht="15.75" customHeight="1">
      <c r="D490" s="13"/>
      <c r="E490" s="8"/>
    </row>
    <row r="491" spans="4:5" ht="15.75" customHeight="1">
      <c r="D491" s="13"/>
      <c r="E491" s="8"/>
    </row>
    <row r="492" spans="4:5" ht="15.75" customHeight="1">
      <c r="D492" s="13"/>
      <c r="E492" s="8"/>
    </row>
    <row r="493" spans="4:5" ht="15.75" customHeight="1">
      <c r="D493" s="13"/>
      <c r="E493" s="8"/>
    </row>
    <row r="494" spans="4:5" ht="15.75" customHeight="1">
      <c r="D494" s="13"/>
      <c r="E494" s="8"/>
    </row>
    <row r="495" spans="4:5" ht="15.75" customHeight="1">
      <c r="D495" s="13"/>
      <c r="E495" s="8"/>
    </row>
    <row r="496" spans="4:5" ht="15.75" customHeight="1">
      <c r="D496" s="13"/>
      <c r="E496" s="8"/>
    </row>
    <row r="497" spans="4:5" ht="15.75" customHeight="1">
      <c r="D497" s="13"/>
      <c r="E497" s="8"/>
    </row>
    <row r="498" spans="4:5" ht="15.75" customHeight="1">
      <c r="D498" s="13"/>
      <c r="E498" s="8"/>
    </row>
    <row r="499" spans="4:5" ht="15.75" customHeight="1">
      <c r="D499" s="13"/>
      <c r="E499" s="8"/>
    </row>
    <row r="500" spans="4:5" ht="15.75" customHeight="1">
      <c r="D500" s="13"/>
      <c r="E500" s="8"/>
    </row>
    <row r="501" spans="4:5" ht="15.75" customHeight="1">
      <c r="D501" s="13"/>
      <c r="E501" s="8"/>
    </row>
    <row r="502" spans="4:5" ht="15.75" customHeight="1">
      <c r="D502" s="13"/>
      <c r="E502" s="8"/>
    </row>
    <row r="503" spans="4:5" ht="15.75" customHeight="1">
      <c r="D503" s="13"/>
      <c r="E503" s="8"/>
    </row>
    <row r="504" spans="4:5" ht="15.75" customHeight="1">
      <c r="D504" s="13"/>
      <c r="E504" s="8"/>
    </row>
    <row r="505" spans="4:5" ht="15.75" customHeight="1">
      <c r="D505" s="13"/>
      <c r="E505" s="8"/>
    </row>
    <row r="506" spans="4:5" ht="15.75" customHeight="1">
      <c r="D506" s="13"/>
      <c r="E506" s="8"/>
    </row>
    <row r="507" spans="4:5" ht="15.75" customHeight="1">
      <c r="D507" s="13"/>
      <c r="E507" s="8"/>
    </row>
    <row r="508" spans="4:5" ht="15.75" customHeight="1">
      <c r="D508" s="13"/>
      <c r="E508" s="8"/>
    </row>
    <row r="509" spans="4:5" ht="15.75" customHeight="1">
      <c r="D509" s="13"/>
      <c r="E509" s="8"/>
    </row>
    <row r="510" spans="4:5" ht="15.75" customHeight="1">
      <c r="D510" s="13"/>
      <c r="E510" s="8"/>
    </row>
    <row r="511" spans="4:5" ht="15.75" customHeight="1">
      <c r="D511" s="13"/>
      <c r="E511" s="8"/>
    </row>
    <row r="512" spans="4:5" ht="15.75" customHeight="1">
      <c r="D512" s="13"/>
      <c r="E512" s="8"/>
    </row>
    <row r="513" spans="4:5" ht="15.75" customHeight="1">
      <c r="D513" s="13"/>
      <c r="E513" s="8"/>
    </row>
    <row r="514" spans="4:5" ht="15.75" customHeight="1">
      <c r="D514" s="13"/>
      <c r="E514" s="8"/>
    </row>
    <row r="515" spans="4:5" ht="15.75" customHeight="1">
      <c r="D515" s="13"/>
      <c r="E515" s="8"/>
    </row>
    <row r="516" spans="4:5" ht="15.75" customHeight="1">
      <c r="D516" s="13"/>
      <c r="E516" s="8"/>
    </row>
    <row r="517" spans="4:5" ht="15.75" customHeight="1">
      <c r="D517" s="13"/>
      <c r="E517" s="8"/>
    </row>
    <row r="518" spans="4:5" ht="15.75" customHeight="1">
      <c r="D518" s="13"/>
      <c r="E518" s="8"/>
    </row>
    <row r="519" spans="4:5" ht="15.75" customHeight="1">
      <c r="D519" s="13"/>
      <c r="E519" s="8"/>
    </row>
    <row r="520" spans="4:5" ht="15.75" customHeight="1">
      <c r="D520" s="13"/>
      <c r="E520" s="8"/>
    </row>
    <row r="521" spans="4:5" ht="15.75" customHeight="1">
      <c r="D521" s="13"/>
      <c r="E521" s="8"/>
    </row>
    <row r="522" spans="4:5" ht="15.75" customHeight="1">
      <c r="D522" s="13"/>
      <c r="E522" s="8"/>
    </row>
    <row r="523" spans="4:5" ht="15.75" customHeight="1">
      <c r="D523" s="13"/>
      <c r="E523" s="8"/>
    </row>
    <row r="524" spans="4:5" ht="15.75" customHeight="1">
      <c r="D524" s="13"/>
      <c r="E524" s="8"/>
    </row>
    <row r="525" spans="4:5" ht="15.75" customHeight="1">
      <c r="D525" s="13"/>
      <c r="E525" s="8"/>
    </row>
    <row r="526" spans="4:5" ht="15.75" customHeight="1">
      <c r="D526" s="13"/>
      <c r="E526" s="8"/>
    </row>
    <row r="527" spans="4:5" ht="15.75" customHeight="1">
      <c r="D527" s="13"/>
      <c r="E527" s="8"/>
    </row>
    <row r="528" spans="4:5" ht="15.75" customHeight="1">
      <c r="D528" s="13"/>
      <c r="E528" s="8"/>
    </row>
    <row r="529" spans="4:5" ht="15.75" customHeight="1">
      <c r="D529" s="13"/>
      <c r="E529" s="8"/>
    </row>
    <row r="530" spans="4:5" ht="15.75" customHeight="1">
      <c r="D530" s="13"/>
      <c r="E530" s="8"/>
    </row>
    <row r="531" spans="4:5" ht="15.75" customHeight="1">
      <c r="D531" s="13"/>
      <c r="E531" s="8"/>
    </row>
    <row r="532" spans="4:5" ht="15.75" customHeight="1">
      <c r="D532" s="13"/>
      <c r="E532" s="8"/>
    </row>
    <row r="533" spans="4:5" ht="15.75" customHeight="1">
      <c r="D533" s="13"/>
      <c r="E533" s="8"/>
    </row>
    <row r="534" spans="4:5" ht="15.75" customHeight="1">
      <c r="D534" s="13"/>
      <c r="E534" s="8"/>
    </row>
    <row r="535" spans="4:5" ht="15.75" customHeight="1">
      <c r="D535" s="13"/>
      <c r="E535" s="8"/>
    </row>
    <row r="536" spans="4:5" ht="15.75" customHeight="1">
      <c r="D536" s="13"/>
      <c r="E536" s="8"/>
    </row>
    <row r="537" spans="4:5" ht="15.75" customHeight="1">
      <c r="D537" s="13"/>
      <c r="E537" s="8"/>
    </row>
    <row r="538" spans="4:5" ht="15.75" customHeight="1">
      <c r="D538" s="13"/>
      <c r="E538" s="8"/>
    </row>
    <row r="539" spans="4:5" ht="15.75" customHeight="1">
      <c r="D539" s="13"/>
      <c r="E539" s="8"/>
    </row>
    <row r="540" spans="4:5" ht="15.75" customHeight="1">
      <c r="D540" s="13"/>
      <c r="E540" s="8"/>
    </row>
    <row r="541" spans="4:5" ht="15.75" customHeight="1">
      <c r="D541" s="13"/>
      <c r="E541" s="8"/>
    </row>
    <row r="542" spans="4:5" ht="15.75" customHeight="1">
      <c r="D542" s="13"/>
      <c r="E542" s="8"/>
    </row>
    <row r="543" spans="4:5" ht="15.75" customHeight="1">
      <c r="D543" s="13"/>
      <c r="E543" s="8"/>
    </row>
    <row r="544" spans="4:5" ht="15.75" customHeight="1">
      <c r="D544" s="13"/>
      <c r="E544" s="8"/>
    </row>
    <row r="545" spans="4:5" ht="15.75" customHeight="1">
      <c r="D545" s="13"/>
      <c r="E545" s="8"/>
    </row>
    <row r="546" spans="4:5" ht="15.75" customHeight="1">
      <c r="D546" s="13"/>
      <c r="E546" s="8"/>
    </row>
    <row r="547" spans="4:5" ht="15.75" customHeight="1">
      <c r="D547" s="13"/>
      <c r="E547" s="8"/>
    </row>
    <row r="548" spans="4:5" ht="15.75" customHeight="1">
      <c r="D548" s="13"/>
      <c r="E548" s="8"/>
    </row>
    <row r="549" spans="4:5" ht="15.75" customHeight="1">
      <c r="D549" s="13"/>
      <c r="E549" s="8"/>
    </row>
    <row r="550" spans="4:5" ht="15.75" customHeight="1">
      <c r="D550" s="13"/>
      <c r="E550" s="8"/>
    </row>
    <row r="551" spans="4:5" ht="15.75" customHeight="1">
      <c r="D551" s="13"/>
      <c r="E551" s="8"/>
    </row>
    <row r="552" spans="4:5" ht="15.75" customHeight="1">
      <c r="D552" s="13"/>
      <c r="E552" s="8"/>
    </row>
    <row r="553" spans="4:5" ht="15.75" customHeight="1">
      <c r="D553" s="13"/>
      <c r="E553" s="8"/>
    </row>
    <row r="554" spans="4:5" ht="15.75" customHeight="1">
      <c r="D554" s="13"/>
      <c r="E554" s="8"/>
    </row>
    <row r="555" spans="4:5" ht="15.75" customHeight="1">
      <c r="D555" s="13"/>
      <c r="E555" s="8"/>
    </row>
    <row r="556" spans="4:5" ht="15.75" customHeight="1">
      <c r="D556" s="13"/>
      <c r="E556" s="8"/>
    </row>
    <row r="557" spans="4:5" ht="15.75" customHeight="1">
      <c r="D557" s="13"/>
      <c r="E557" s="8"/>
    </row>
    <row r="558" spans="4:5" ht="15.75" customHeight="1">
      <c r="D558" s="13"/>
      <c r="E558" s="8"/>
    </row>
    <row r="559" spans="4:5" ht="15.75" customHeight="1">
      <c r="D559" s="13"/>
      <c r="E559" s="8"/>
    </row>
    <row r="560" spans="4:5" ht="15.75" customHeight="1">
      <c r="D560" s="13"/>
      <c r="E560" s="8"/>
    </row>
    <row r="561" spans="4:5" ht="15.75" customHeight="1">
      <c r="D561" s="13"/>
      <c r="E561" s="8"/>
    </row>
    <row r="562" spans="4:5" ht="15.75" customHeight="1">
      <c r="D562" s="13"/>
      <c r="E562" s="8"/>
    </row>
    <row r="563" spans="4:5" ht="15.75" customHeight="1">
      <c r="D563" s="13"/>
      <c r="E563" s="8"/>
    </row>
    <row r="564" spans="4:5" ht="15.75" customHeight="1">
      <c r="D564" s="13"/>
      <c r="E564" s="8"/>
    </row>
    <row r="565" spans="4:5" ht="15.75" customHeight="1">
      <c r="D565" s="13"/>
      <c r="E565" s="8"/>
    </row>
    <row r="566" spans="4:5" ht="15.75" customHeight="1">
      <c r="D566" s="13"/>
      <c r="E566" s="8"/>
    </row>
    <row r="567" spans="4:5" ht="15.75" customHeight="1">
      <c r="D567" s="13"/>
      <c r="E567" s="8"/>
    </row>
    <row r="568" spans="4:5" ht="15.75" customHeight="1">
      <c r="D568" s="13"/>
      <c r="E568" s="8"/>
    </row>
    <row r="569" spans="4:5" ht="15.75" customHeight="1">
      <c r="D569" s="13"/>
      <c r="E569" s="8"/>
    </row>
    <row r="570" spans="4:5" ht="15.75" customHeight="1">
      <c r="D570" s="13"/>
      <c r="E570" s="8"/>
    </row>
    <row r="571" spans="4:5" ht="15.75" customHeight="1">
      <c r="D571" s="13"/>
      <c r="E571" s="8"/>
    </row>
    <row r="572" spans="4:5" ht="15.75" customHeight="1">
      <c r="D572" s="13"/>
      <c r="E572" s="8"/>
    </row>
    <row r="573" spans="4:5" ht="15.75" customHeight="1">
      <c r="D573" s="13"/>
      <c r="E573" s="8"/>
    </row>
    <row r="574" spans="4:5" ht="15.75" customHeight="1">
      <c r="D574" s="13"/>
      <c r="E574" s="8"/>
    </row>
    <row r="575" spans="4:5" ht="15.75" customHeight="1">
      <c r="D575" s="13"/>
      <c r="E575" s="8"/>
    </row>
    <row r="576" spans="4:5" ht="15.75" customHeight="1">
      <c r="D576" s="13"/>
      <c r="E576" s="8"/>
    </row>
    <row r="577" spans="4:5" ht="15.75" customHeight="1">
      <c r="D577" s="13"/>
      <c r="E577" s="8"/>
    </row>
    <row r="578" spans="4:5" ht="15.75" customHeight="1">
      <c r="D578" s="13"/>
      <c r="E578" s="8"/>
    </row>
    <row r="579" spans="4:5" ht="15.75" customHeight="1">
      <c r="D579" s="13"/>
      <c r="E579" s="8"/>
    </row>
    <row r="580" spans="4:5" ht="15.75" customHeight="1">
      <c r="D580" s="13"/>
      <c r="E580" s="8"/>
    </row>
    <row r="581" spans="4:5" ht="15.75" customHeight="1">
      <c r="D581" s="13"/>
      <c r="E581" s="8"/>
    </row>
    <row r="582" spans="4:5" ht="15.75" customHeight="1">
      <c r="D582" s="13"/>
      <c r="E582" s="8"/>
    </row>
    <row r="583" spans="4:5" ht="15.75" customHeight="1">
      <c r="D583" s="13"/>
      <c r="E583" s="8"/>
    </row>
    <row r="584" spans="4:5" ht="15.75" customHeight="1">
      <c r="D584" s="13"/>
      <c r="E584" s="8"/>
    </row>
    <row r="585" spans="4:5" ht="15.75" customHeight="1">
      <c r="D585" s="13"/>
      <c r="E585" s="8"/>
    </row>
    <row r="586" spans="4:5" ht="15.75" customHeight="1">
      <c r="D586" s="13"/>
      <c r="E586" s="8"/>
    </row>
    <row r="587" spans="4:5" ht="15.75" customHeight="1">
      <c r="D587" s="13"/>
      <c r="E587" s="8"/>
    </row>
    <row r="588" spans="4:5" ht="15.75" customHeight="1">
      <c r="D588" s="13"/>
      <c r="E588" s="8"/>
    </row>
    <row r="589" spans="4:5" ht="15.75" customHeight="1">
      <c r="D589" s="13"/>
      <c r="E589" s="8"/>
    </row>
    <row r="590" spans="4:5" ht="15.75" customHeight="1">
      <c r="D590" s="13"/>
      <c r="E590" s="8"/>
    </row>
    <row r="591" spans="4:5" ht="15.75" customHeight="1">
      <c r="D591" s="13"/>
      <c r="E591" s="8"/>
    </row>
    <row r="592" spans="4:5" ht="15.75" customHeight="1">
      <c r="D592" s="13"/>
      <c r="E592" s="8"/>
    </row>
    <row r="593" spans="4:5" ht="15.75" customHeight="1">
      <c r="D593" s="13"/>
      <c r="E593" s="8"/>
    </row>
    <row r="594" spans="4:5" ht="15.75" customHeight="1">
      <c r="D594" s="13"/>
      <c r="E594" s="8"/>
    </row>
    <row r="595" spans="4:5" ht="15.75" customHeight="1">
      <c r="D595" s="13"/>
      <c r="E595" s="8"/>
    </row>
    <row r="596" spans="4:5" ht="15.75" customHeight="1">
      <c r="D596" s="13"/>
      <c r="E596" s="8"/>
    </row>
    <row r="597" spans="4:5" ht="15.75" customHeight="1">
      <c r="D597" s="13"/>
      <c r="E597" s="8"/>
    </row>
    <row r="598" spans="4:5" ht="15.75" customHeight="1">
      <c r="D598" s="13"/>
      <c r="E598" s="8"/>
    </row>
    <row r="599" spans="4:5" ht="15.75" customHeight="1">
      <c r="D599" s="13"/>
      <c r="E599" s="8"/>
    </row>
    <row r="600" spans="4:5" ht="15.75" customHeight="1">
      <c r="D600" s="13"/>
      <c r="E600" s="8"/>
    </row>
    <row r="601" spans="4:5" ht="15.75" customHeight="1">
      <c r="D601" s="13"/>
      <c r="E601" s="8"/>
    </row>
    <row r="602" spans="4:5" ht="15.75" customHeight="1">
      <c r="D602" s="13"/>
      <c r="E602" s="8"/>
    </row>
    <row r="603" spans="4:5" ht="15.75" customHeight="1">
      <c r="D603" s="13"/>
      <c r="E603" s="8"/>
    </row>
    <row r="604" spans="4:5" ht="15.75" customHeight="1">
      <c r="D604" s="13"/>
      <c r="E604" s="8"/>
    </row>
    <row r="605" spans="4:5" ht="15.75" customHeight="1">
      <c r="D605" s="13"/>
      <c r="E605" s="8"/>
    </row>
    <row r="606" spans="4:5" ht="15.75" customHeight="1">
      <c r="D606" s="13"/>
      <c r="E606" s="8"/>
    </row>
    <row r="607" spans="4:5" ht="15.75" customHeight="1">
      <c r="D607" s="13"/>
      <c r="E607" s="8"/>
    </row>
    <row r="608" spans="4:5" ht="15.75" customHeight="1">
      <c r="D608" s="13"/>
      <c r="E608" s="8"/>
    </row>
    <row r="609" spans="4:5" ht="15.75" customHeight="1">
      <c r="D609" s="13"/>
      <c r="E609" s="8"/>
    </row>
    <row r="610" spans="4:5" ht="15.75" customHeight="1">
      <c r="D610" s="13"/>
      <c r="E610" s="8"/>
    </row>
    <row r="611" spans="4:5" ht="15.75" customHeight="1">
      <c r="D611" s="13"/>
      <c r="E611" s="8"/>
    </row>
    <row r="612" spans="4:5" ht="15.75" customHeight="1">
      <c r="D612" s="13"/>
      <c r="E612" s="8"/>
    </row>
    <row r="613" spans="4:5" ht="15.75" customHeight="1">
      <c r="D613" s="13"/>
      <c r="E613" s="8"/>
    </row>
    <row r="614" spans="4:5" ht="15.75" customHeight="1">
      <c r="D614" s="13"/>
      <c r="E614" s="8"/>
    </row>
    <row r="615" spans="4:5" ht="15.75" customHeight="1">
      <c r="D615" s="13"/>
      <c r="E615" s="8"/>
    </row>
    <row r="616" spans="4:5" ht="15.75" customHeight="1">
      <c r="D616" s="13"/>
      <c r="E616" s="8"/>
    </row>
    <row r="617" spans="4:5" ht="15.75" customHeight="1">
      <c r="D617" s="13"/>
      <c r="E617" s="8"/>
    </row>
    <row r="618" spans="4:5" ht="15.75" customHeight="1">
      <c r="D618" s="13"/>
      <c r="E618" s="8"/>
    </row>
    <row r="619" spans="4:5" ht="15.75" customHeight="1">
      <c r="D619" s="13"/>
      <c r="E619" s="8"/>
    </row>
    <row r="620" spans="4:5" ht="15.75" customHeight="1">
      <c r="D620" s="13"/>
      <c r="E620" s="8"/>
    </row>
    <row r="621" spans="4:5" ht="15.75" customHeight="1">
      <c r="D621" s="13"/>
      <c r="E621" s="8"/>
    </row>
    <row r="622" spans="4:5" ht="15.75" customHeight="1">
      <c r="D622" s="13"/>
      <c r="E622" s="8"/>
    </row>
    <row r="623" spans="4:5" ht="15.75" customHeight="1">
      <c r="D623" s="13"/>
      <c r="E623" s="8"/>
    </row>
    <row r="624" spans="4:5" ht="15.75" customHeight="1">
      <c r="D624" s="13"/>
      <c r="E624" s="8"/>
    </row>
    <row r="625" spans="4:5" ht="15.75" customHeight="1">
      <c r="D625" s="13"/>
      <c r="E625" s="8"/>
    </row>
    <row r="626" spans="4:5" ht="15.75" customHeight="1">
      <c r="D626" s="13"/>
      <c r="E626" s="8"/>
    </row>
    <row r="627" spans="4:5" ht="15.75" customHeight="1">
      <c r="D627" s="13"/>
      <c r="E627" s="8"/>
    </row>
    <row r="628" spans="4:5" ht="15.75" customHeight="1">
      <c r="D628" s="13"/>
      <c r="E628" s="8"/>
    </row>
    <row r="629" spans="4:5" ht="15.75" customHeight="1">
      <c r="D629" s="13"/>
      <c r="E629" s="8"/>
    </row>
    <row r="630" spans="4:5" ht="15.75" customHeight="1">
      <c r="D630" s="13"/>
      <c r="E630" s="8"/>
    </row>
    <row r="631" spans="4:5" ht="15.75" customHeight="1">
      <c r="D631" s="13"/>
      <c r="E631" s="8"/>
    </row>
    <row r="632" spans="4:5" ht="15.75" customHeight="1">
      <c r="D632" s="13"/>
      <c r="E632" s="8"/>
    </row>
    <row r="633" spans="4:5" ht="15.75" customHeight="1">
      <c r="D633" s="13"/>
      <c r="E633" s="8"/>
    </row>
    <row r="634" spans="4:5" ht="15.75" customHeight="1">
      <c r="D634" s="13"/>
      <c r="E634" s="8"/>
    </row>
    <row r="635" spans="4:5" ht="15.75" customHeight="1">
      <c r="D635" s="13"/>
      <c r="E635" s="8"/>
    </row>
    <row r="636" spans="4:5" ht="15.75" customHeight="1">
      <c r="D636" s="13"/>
      <c r="E636" s="8"/>
    </row>
    <row r="637" spans="4:5" ht="15.75" customHeight="1">
      <c r="D637" s="13"/>
      <c r="E637" s="8"/>
    </row>
    <row r="638" spans="4:5" ht="15.75" customHeight="1">
      <c r="D638" s="13"/>
      <c r="E638" s="8"/>
    </row>
    <row r="639" spans="4:5" ht="15.75" customHeight="1">
      <c r="D639" s="13"/>
      <c r="E639" s="8"/>
    </row>
    <row r="640" spans="4:5" ht="15.75" customHeight="1">
      <c r="D640" s="13"/>
      <c r="E640" s="8"/>
    </row>
    <row r="641" spans="4:5" ht="15.75" customHeight="1">
      <c r="D641" s="13"/>
      <c r="E641" s="8"/>
    </row>
    <row r="642" spans="4:5" ht="15.75" customHeight="1">
      <c r="D642" s="13"/>
      <c r="E642" s="8"/>
    </row>
    <row r="643" spans="4:5" ht="15.75" customHeight="1">
      <c r="D643" s="13"/>
      <c r="E643" s="8"/>
    </row>
    <row r="644" spans="4:5" ht="15.75" customHeight="1">
      <c r="D644" s="13"/>
      <c r="E644" s="8"/>
    </row>
    <row r="645" spans="4:5" ht="15.75" customHeight="1">
      <c r="D645" s="13"/>
      <c r="E645" s="8"/>
    </row>
    <row r="646" spans="4:5" ht="15.75" customHeight="1">
      <c r="D646" s="13"/>
      <c r="E646" s="8"/>
    </row>
    <row r="647" spans="4:5" ht="15.75" customHeight="1">
      <c r="D647" s="13"/>
      <c r="E647" s="8"/>
    </row>
    <row r="648" spans="4:5" ht="15.75" customHeight="1">
      <c r="D648" s="13"/>
      <c r="E648" s="8"/>
    </row>
    <row r="649" spans="4:5" ht="15.75" customHeight="1">
      <c r="D649" s="13"/>
      <c r="E649" s="8"/>
    </row>
    <row r="650" spans="4:5" ht="15.75" customHeight="1">
      <c r="D650" s="13"/>
      <c r="E650" s="8"/>
    </row>
    <row r="651" spans="4:5" ht="15.75" customHeight="1">
      <c r="D651" s="13"/>
      <c r="E651" s="8"/>
    </row>
    <row r="652" spans="4:5" ht="15.75" customHeight="1">
      <c r="D652" s="13"/>
      <c r="E652" s="8"/>
    </row>
    <row r="653" spans="4:5" ht="15.75" customHeight="1">
      <c r="D653" s="13"/>
      <c r="E653" s="8"/>
    </row>
    <row r="654" spans="4:5" ht="15.75" customHeight="1">
      <c r="D654" s="13"/>
      <c r="E654" s="8"/>
    </row>
    <row r="655" spans="4:5" ht="15.75" customHeight="1">
      <c r="D655" s="13"/>
      <c r="E655" s="8"/>
    </row>
    <row r="656" spans="4:5" ht="15.75" customHeight="1">
      <c r="D656" s="13"/>
      <c r="E656" s="8"/>
    </row>
    <row r="657" spans="4:5" ht="15.75" customHeight="1">
      <c r="D657" s="13"/>
      <c r="E657" s="8"/>
    </row>
    <row r="658" spans="4:5" ht="15.75" customHeight="1">
      <c r="D658" s="13"/>
      <c r="E658" s="8"/>
    </row>
    <row r="659" spans="4:5" ht="15.75" customHeight="1">
      <c r="D659" s="13"/>
      <c r="E659" s="8"/>
    </row>
    <row r="660" spans="4:5" ht="15.75" customHeight="1">
      <c r="D660" s="13"/>
      <c r="E660" s="8"/>
    </row>
    <row r="661" spans="4:5" ht="15.75" customHeight="1">
      <c r="D661" s="13"/>
      <c r="E661" s="8"/>
    </row>
    <row r="662" spans="4:5" ht="15.75" customHeight="1">
      <c r="D662" s="13"/>
      <c r="E662" s="8"/>
    </row>
    <row r="663" spans="4:5" ht="15.75" customHeight="1">
      <c r="D663" s="13"/>
      <c r="E663" s="8"/>
    </row>
    <row r="664" spans="4:5" ht="15.75" customHeight="1">
      <c r="D664" s="13"/>
      <c r="E664" s="8"/>
    </row>
    <row r="665" spans="4:5" ht="15.75" customHeight="1">
      <c r="D665" s="13"/>
      <c r="E665" s="8"/>
    </row>
    <row r="666" spans="4:5" ht="15.75" customHeight="1">
      <c r="D666" s="13"/>
      <c r="E666" s="8"/>
    </row>
    <row r="667" spans="4:5" ht="15.75" customHeight="1">
      <c r="D667" s="13"/>
      <c r="E667" s="8"/>
    </row>
    <row r="668" spans="4:5" ht="15.75" customHeight="1">
      <c r="D668" s="13"/>
      <c r="E668" s="8"/>
    </row>
    <row r="669" spans="4:5" ht="15.75" customHeight="1">
      <c r="D669" s="13"/>
      <c r="E669" s="8"/>
    </row>
    <row r="670" spans="4:5" ht="15.75" customHeight="1">
      <c r="D670" s="13"/>
      <c r="E670" s="8"/>
    </row>
    <row r="671" spans="4:5" ht="15.75" customHeight="1">
      <c r="D671" s="13"/>
      <c r="E671" s="8"/>
    </row>
    <row r="672" spans="4:5" ht="15.75" customHeight="1">
      <c r="D672" s="13"/>
      <c r="E672" s="8"/>
    </row>
    <row r="673" spans="4:5" ht="15.75" customHeight="1">
      <c r="D673" s="13"/>
      <c r="E673" s="8"/>
    </row>
    <row r="674" spans="4:5" ht="15.75" customHeight="1">
      <c r="D674" s="13"/>
      <c r="E674" s="8"/>
    </row>
    <row r="675" spans="4:5" ht="15.75" customHeight="1">
      <c r="D675" s="13"/>
      <c r="E675" s="8"/>
    </row>
    <row r="676" spans="4:5" ht="15.75" customHeight="1">
      <c r="D676" s="13"/>
      <c r="E676" s="8"/>
    </row>
    <row r="677" spans="4:5" ht="15.75" customHeight="1">
      <c r="D677" s="13"/>
      <c r="E677" s="8"/>
    </row>
    <row r="678" spans="4:5" ht="15.75" customHeight="1">
      <c r="D678" s="13"/>
      <c r="E678" s="8"/>
    </row>
    <row r="679" spans="4:5" ht="15.75" customHeight="1">
      <c r="D679" s="13"/>
      <c r="E679" s="8"/>
    </row>
    <row r="680" spans="4:5" ht="15.75" customHeight="1">
      <c r="D680" s="13"/>
      <c r="E680" s="8"/>
    </row>
    <row r="681" spans="4:5" ht="15.75" customHeight="1">
      <c r="D681" s="13"/>
      <c r="E681" s="8"/>
    </row>
    <row r="682" spans="4:5" ht="15.75" customHeight="1">
      <c r="D682" s="13"/>
      <c r="E682" s="8"/>
    </row>
    <row r="683" spans="4:5" ht="15.75" customHeight="1">
      <c r="D683" s="13"/>
      <c r="E683" s="8"/>
    </row>
    <row r="684" spans="4:5" ht="15.75" customHeight="1">
      <c r="D684" s="13"/>
      <c r="E684" s="8"/>
    </row>
    <row r="685" spans="4:5" ht="15.75" customHeight="1">
      <c r="D685" s="13"/>
      <c r="E685" s="8"/>
    </row>
    <row r="686" spans="4:5" ht="15.75" customHeight="1">
      <c r="D686" s="13"/>
      <c r="E686" s="8"/>
    </row>
    <row r="687" spans="4:5" ht="15.75" customHeight="1">
      <c r="D687" s="13"/>
      <c r="E687" s="8"/>
    </row>
    <row r="688" spans="4:5" ht="15.75" customHeight="1">
      <c r="D688" s="13"/>
      <c r="E688" s="8"/>
    </row>
    <row r="689" spans="4:5" ht="15.75" customHeight="1">
      <c r="D689" s="13"/>
      <c r="E689" s="8"/>
    </row>
    <row r="690" spans="4:5" ht="15.75" customHeight="1">
      <c r="D690" s="13"/>
      <c r="E690" s="8"/>
    </row>
    <row r="691" spans="4:5" ht="15.75" customHeight="1">
      <c r="D691" s="13"/>
      <c r="E691" s="8"/>
    </row>
    <row r="692" spans="4:5" ht="15.75" customHeight="1">
      <c r="D692" s="13"/>
      <c r="E692" s="8"/>
    </row>
    <row r="693" spans="4:5" ht="15.75" customHeight="1">
      <c r="D693" s="13"/>
      <c r="E693" s="8"/>
    </row>
    <row r="694" spans="4:5" ht="15.75" customHeight="1">
      <c r="D694" s="13"/>
      <c r="E694" s="8"/>
    </row>
    <row r="695" spans="4:5" ht="15.75" customHeight="1">
      <c r="D695" s="13"/>
      <c r="E695" s="8"/>
    </row>
    <row r="696" spans="4:5" ht="15.75" customHeight="1">
      <c r="D696" s="13"/>
      <c r="E696" s="8"/>
    </row>
    <row r="697" spans="4:5" ht="15.75" customHeight="1">
      <c r="D697" s="13"/>
      <c r="E697" s="8"/>
    </row>
    <row r="698" spans="4:5" ht="15.75" customHeight="1">
      <c r="D698" s="13"/>
      <c r="E698" s="8"/>
    </row>
    <row r="699" spans="4:5" ht="15.75" customHeight="1">
      <c r="D699" s="13"/>
      <c r="E699" s="8"/>
    </row>
    <row r="700" spans="4:5" ht="15.75" customHeight="1">
      <c r="D700" s="13"/>
      <c r="E700" s="8"/>
    </row>
    <row r="701" spans="4:5" ht="15.75" customHeight="1">
      <c r="D701" s="13"/>
      <c r="E701" s="8"/>
    </row>
    <row r="702" spans="4:5" ht="15.75" customHeight="1">
      <c r="D702" s="13"/>
      <c r="E702" s="8"/>
    </row>
    <row r="703" spans="4:5" ht="15.75" customHeight="1">
      <c r="D703" s="13"/>
      <c r="E703" s="8"/>
    </row>
    <row r="704" spans="4:5" ht="15.75" customHeight="1">
      <c r="D704" s="13"/>
      <c r="E704" s="8"/>
    </row>
    <row r="705" spans="4:5" ht="15.75" customHeight="1">
      <c r="D705" s="13"/>
      <c r="E705" s="8"/>
    </row>
    <row r="706" spans="4:5" ht="15.75" customHeight="1">
      <c r="D706" s="13"/>
      <c r="E706" s="8"/>
    </row>
    <row r="707" spans="4:5" ht="15.75" customHeight="1">
      <c r="D707" s="13"/>
      <c r="E707" s="8"/>
    </row>
    <row r="708" spans="4:5" ht="15.75" customHeight="1">
      <c r="D708" s="13"/>
      <c r="E708" s="8"/>
    </row>
    <row r="709" spans="4:5" ht="15.75" customHeight="1">
      <c r="D709" s="13"/>
      <c r="E709" s="8"/>
    </row>
    <row r="710" spans="4:5" ht="15.75" customHeight="1">
      <c r="D710" s="13"/>
      <c r="E710" s="8"/>
    </row>
    <row r="711" spans="4:5" ht="15.75" customHeight="1">
      <c r="D711" s="13"/>
      <c r="E711" s="8"/>
    </row>
    <row r="712" spans="4:5" ht="15.75" customHeight="1">
      <c r="D712" s="13"/>
      <c r="E712" s="8"/>
    </row>
    <row r="713" spans="4:5" ht="15.75" customHeight="1">
      <c r="D713" s="13"/>
      <c r="E713" s="8"/>
    </row>
    <row r="714" spans="4:5" ht="15.75" customHeight="1">
      <c r="D714" s="13"/>
      <c r="E714" s="8"/>
    </row>
    <row r="715" spans="4:5" ht="15.75" customHeight="1">
      <c r="D715" s="13"/>
      <c r="E715" s="8"/>
    </row>
    <row r="716" spans="4:5" ht="15.75" customHeight="1">
      <c r="D716" s="13"/>
      <c r="E716" s="8"/>
    </row>
    <row r="717" spans="4:5" ht="15.75" customHeight="1">
      <c r="D717" s="13"/>
      <c r="E717" s="8"/>
    </row>
    <row r="718" spans="4:5" ht="15.75" customHeight="1">
      <c r="D718" s="13"/>
      <c r="E718" s="8"/>
    </row>
    <row r="719" spans="4:5" ht="15.75" customHeight="1">
      <c r="D719" s="13"/>
      <c r="E719" s="8"/>
    </row>
    <row r="720" spans="4:5" ht="15.75" customHeight="1">
      <c r="D720" s="13"/>
      <c r="E720" s="8"/>
    </row>
    <row r="721" spans="4:5" ht="15.75" customHeight="1">
      <c r="D721" s="13"/>
      <c r="E721" s="8"/>
    </row>
    <row r="722" spans="4:5" ht="15.75" customHeight="1">
      <c r="D722" s="13"/>
      <c r="E722" s="8"/>
    </row>
    <row r="723" spans="4:5" ht="15.75" customHeight="1">
      <c r="D723" s="13"/>
      <c r="E723" s="8"/>
    </row>
    <row r="724" spans="4:5" ht="15.75" customHeight="1">
      <c r="D724" s="13"/>
      <c r="E724" s="8"/>
    </row>
    <row r="725" spans="4:5" ht="15.75" customHeight="1">
      <c r="D725" s="13"/>
      <c r="E725" s="8"/>
    </row>
    <row r="726" spans="4:5" ht="15.75" customHeight="1">
      <c r="D726" s="13"/>
      <c r="E726" s="8"/>
    </row>
    <row r="727" spans="4:5" ht="15.75" customHeight="1">
      <c r="D727" s="13"/>
      <c r="E727" s="8"/>
    </row>
    <row r="728" spans="4:5" ht="15.75" customHeight="1">
      <c r="D728" s="13"/>
      <c r="E728" s="8"/>
    </row>
    <row r="729" spans="4:5" ht="15.75" customHeight="1">
      <c r="D729" s="13"/>
      <c r="E729" s="8"/>
    </row>
    <row r="730" spans="4:5" ht="15.75" customHeight="1">
      <c r="D730" s="13"/>
      <c r="E730" s="8"/>
    </row>
    <row r="731" spans="4:5" ht="15.75" customHeight="1">
      <c r="D731" s="13"/>
      <c r="E731" s="8"/>
    </row>
    <row r="732" spans="4:5" ht="15.75" customHeight="1">
      <c r="D732" s="13"/>
      <c r="E732" s="8"/>
    </row>
    <row r="733" spans="4:5" ht="15.75" customHeight="1">
      <c r="D733" s="13"/>
      <c r="E733" s="8"/>
    </row>
    <row r="734" spans="4:5" ht="15.75" customHeight="1">
      <c r="D734" s="13"/>
      <c r="E734" s="8"/>
    </row>
    <row r="735" spans="4:5" ht="15.75" customHeight="1">
      <c r="D735" s="13"/>
      <c r="E735" s="8"/>
    </row>
    <row r="736" spans="4:5" ht="15.75" customHeight="1">
      <c r="D736" s="13"/>
      <c r="E736" s="8"/>
    </row>
    <row r="737" spans="4:5" ht="15.75" customHeight="1">
      <c r="D737" s="13"/>
      <c r="E737" s="8"/>
    </row>
    <row r="738" spans="4:5" ht="15.75" customHeight="1">
      <c r="D738" s="13"/>
      <c r="E738" s="8"/>
    </row>
    <row r="739" spans="4:5" ht="15.75" customHeight="1">
      <c r="D739" s="13"/>
      <c r="E739" s="8"/>
    </row>
    <row r="740" spans="4:5" ht="15.75" customHeight="1">
      <c r="D740" s="13"/>
      <c r="E740" s="8"/>
    </row>
    <row r="741" spans="4:5" ht="15.75" customHeight="1">
      <c r="D741" s="13"/>
      <c r="E741" s="8"/>
    </row>
    <row r="742" spans="4:5" ht="15.75" customHeight="1">
      <c r="D742" s="13"/>
      <c r="E742" s="8"/>
    </row>
    <row r="743" spans="4:5" ht="15.75" customHeight="1">
      <c r="D743" s="13"/>
      <c r="E743" s="8"/>
    </row>
    <row r="744" spans="4:5" ht="15.75" customHeight="1">
      <c r="D744" s="13"/>
      <c r="E744" s="8"/>
    </row>
    <row r="745" spans="4:5" ht="15.75" customHeight="1">
      <c r="D745" s="13"/>
      <c r="E745" s="8"/>
    </row>
    <row r="746" spans="4:5" ht="15.75" customHeight="1">
      <c r="D746" s="13"/>
      <c r="E746" s="8"/>
    </row>
    <row r="747" spans="4:5" ht="15.75" customHeight="1">
      <c r="D747" s="13"/>
      <c r="E747" s="8"/>
    </row>
    <row r="748" spans="4:5" ht="15.75" customHeight="1">
      <c r="D748" s="13"/>
      <c r="E748" s="8"/>
    </row>
    <row r="749" spans="4:5" ht="15.75" customHeight="1">
      <c r="D749" s="13"/>
      <c r="E749" s="8"/>
    </row>
    <row r="750" spans="4:5" ht="15.75" customHeight="1">
      <c r="D750" s="13"/>
      <c r="E750" s="8"/>
    </row>
    <row r="751" spans="4:5" ht="15.75" customHeight="1">
      <c r="D751" s="13"/>
      <c r="E751" s="8"/>
    </row>
    <row r="752" spans="4:5" ht="15.75" customHeight="1">
      <c r="D752" s="13"/>
      <c r="E752" s="8"/>
    </row>
    <row r="753" spans="4:5" ht="15.75" customHeight="1">
      <c r="D753" s="13"/>
      <c r="E753" s="8"/>
    </row>
    <row r="754" spans="4:5" ht="15.75" customHeight="1">
      <c r="D754" s="13"/>
      <c r="E754" s="8"/>
    </row>
    <row r="755" spans="4:5" ht="15.75" customHeight="1">
      <c r="D755" s="13"/>
      <c r="E755" s="8"/>
    </row>
    <row r="756" spans="4:5" ht="15.75" customHeight="1">
      <c r="D756" s="13"/>
      <c r="E756" s="8"/>
    </row>
    <row r="757" spans="4:5" ht="15.75" customHeight="1">
      <c r="D757" s="13"/>
      <c r="E757" s="8"/>
    </row>
    <row r="758" spans="4:5" ht="15.75" customHeight="1">
      <c r="D758" s="13"/>
      <c r="E758" s="8"/>
    </row>
    <row r="759" spans="4:5" ht="15.75" customHeight="1">
      <c r="D759" s="13"/>
      <c r="E759" s="8"/>
    </row>
    <row r="760" spans="4:5" ht="15.75" customHeight="1">
      <c r="D760" s="13"/>
      <c r="E760" s="8"/>
    </row>
    <row r="761" spans="4:5" ht="15.75" customHeight="1">
      <c r="D761" s="13"/>
      <c r="E761" s="8"/>
    </row>
    <row r="762" spans="4:5" ht="15.75" customHeight="1">
      <c r="D762" s="13"/>
      <c r="E762" s="8"/>
    </row>
    <row r="763" spans="4:5" ht="15.75" customHeight="1">
      <c r="D763" s="13"/>
      <c r="E763" s="8"/>
    </row>
    <row r="764" spans="4:5" ht="15.75" customHeight="1">
      <c r="D764" s="13"/>
      <c r="E764" s="8"/>
    </row>
    <row r="765" spans="4:5" ht="15.75" customHeight="1">
      <c r="D765" s="13"/>
      <c r="E765" s="8"/>
    </row>
    <row r="766" spans="4:5" ht="15.75" customHeight="1">
      <c r="D766" s="13"/>
      <c r="E766" s="8"/>
    </row>
    <row r="767" spans="4:5" ht="15.75" customHeight="1">
      <c r="D767" s="13"/>
      <c r="E767" s="8"/>
    </row>
    <row r="768" spans="4:5" ht="15.75" customHeight="1">
      <c r="D768" s="13"/>
      <c r="E768" s="8"/>
    </row>
    <row r="769" spans="4:5" ht="15.75" customHeight="1">
      <c r="D769" s="13"/>
      <c r="E769" s="8"/>
    </row>
    <row r="770" spans="4:5" ht="15.75" customHeight="1">
      <c r="D770" s="13"/>
      <c r="E770" s="8"/>
    </row>
    <row r="771" spans="4:5" ht="15.75" customHeight="1">
      <c r="D771" s="13"/>
      <c r="E771" s="8"/>
    </row>
    <row r="772" spans="4:5" ht="15.75" customHeight="1">
      <c r="D772" s="13"/>
      <c r="E772" s="8"/>
    </row>
    <row r="773" spans="4:5" ht="15.75" customHeight="1">
      <c r="D773" s="13"/>
      <c r="E773" s="8"/>
    </row>
    <row r="774" spans="4:5" ht="15.75" customHeight="1">
      <c r="D774" s="13"/>
      <c r="E774" s="8"/>
    </row>
    <row r="775" spans="4:5" ht="15.75" customHeight="1">
      <c r="D775" s="13"/>
      <c r="E775" s="8"/>
    </row>
    <row r="776" spans="4:5" ht="15.75" customHeight="1">
      <c r="D776" s="13"/>
      <c r="E776" s="8"/>
    </row>
    <row r="777" spans="4:5" ht="15.75" customHeight="1">
      <c r="D777" s="13"/>
      <c r="E777" s="8"/>
    </row>
    <row r="778" spans="4:5" ht="15.75" customHeight="1">
      <c r="D778" s="13"/>
      <c r="E778" s="8"/>
    </row>
    <row r="779" spans="4:5" ht="15.75" customHeight="1">
      <c r="D779" s="13"/>
      <c r="E779" s="8"/>
    </row>
    <row r="780" spans="4:5" ht="15.75" customHeight="1">
      <c r="D780" s="13"/>
      <c r="E780" s="8"/>
    </row>
    <row r="781" spans="4:5" ht="15.75" customHeight="1">
      <c r="D781" s="13"/>
      <c r="E781" s="8"/>
    </row>
    <row r="782" spans="4:5" ht="15.75" customHeight="1">
      <c r="D782" s="13"/>
      <c r="E782" s="8"/>
    </row>
    <row r="783" spans="4:5" ht="15.75" customHeight="1">
      <c r="D783" s="13"/>
      <c r="E783" s="8"/>
    </row>
    <row r="784" spans="4:5" ht="15.75" customHeight="1">
      <c r="D784" s="13"/>
      <c r="E784" s="8"/>
    </row>
    <row r="785" spans="4:5" ht="15.75" customHeight="1">
      <c r="D785" s="13"/>
      <c r="E785" s="8"/>
    </row>
    <row r="786" spans="4:5" ht="15.75" customHeight="1">
      <c r="D786" s="13"/>
      <c r="E786" s="8"/>
    </row>
    <row r="787" spans="4:5" ht="15.75" customHeight="1">
      <c r="D787" s="13"/>
      <c r="E787" s="8"/>
    </row>
    <row r="788" spans="4:5" ht="15.75" customHeight="1">
      <c r="D788" s="13"/>
      <c r="E788" s="8"/>
    </row>
    <row r="789" spans="4:5" ht="15.75" customHeight="1">
      <c r="D789" s="13"/>
      <c r="E789" s="8"/>
    </row>
    <row r="790" spans="4:5" ht="15.75" customHeight="1">
      <c r="D790" s="13"/>
      <c r="E790" s="8"/>
    </row>
    <row r="791" spans="4:5" ht="15.75" customHeight="1">
      <c r="D791" s="13"/>
      <c r="E791" s="8"/>
    </row>
    <row r="792" spans="4:5" ht="15.75" customHeight="1">
      <c r="D792" s="13"/>
      <c r="E792" s="8"/>
    </row>
    <row r="793" spans="4:5" ht="15.75" customHeight="1">
      <c r="D793" s="13"/>
      <c r="E793" s="8"/>
    </row>
    <row r="794" spans="4:5" ht="15.75" customHeight="1">
      <c r="D794" s="13"/>
      <c r="E794" s="8"/>
    </row>
    <row r="795" spans="4:5" ht="15.75" customHeight="1">
      <c r="D795" s="13"/>
      <c r="E795" s="8"/>
    </row>
    <row r="796" spans="4:5" ht="15.75" customHeight="1">
      <c r="D796" s="13"/>
      <c r="E796" s="8"/>
    </row>
    <row r="797" spans="4:5" ht="15.75" customHeight="1">
      <c r="D797" s="13"/>
      <c r="E797" s="8"/>
    </row>
    <row r="798" spans="4:5" ht="15.75" customHeight="1">
      <c r="D798" s="13"/>
      <c r="E798" s="8"/>
    </row>
    <row r="799" spans="4:5" ht="15.75" customHeight="1">
      <c r="D799" s="13"/>
      <c r="E799" s="8"/>
    </row>
    <row r="800" spans="4:5" ht="15.75" customHeight="1">
      <c r="D800" s="13"/>
      <c r="E800" s="8"/>
    </row>
    <row r="801" spans="4:5" ht="15.75" customHeight="1">
      <c r="D801" s="13"/>
      <c r="E801" s="8"/>
    </row>
    <row r="802" spans="4:5" ht="15.75" customHeight="1">
      <c r="D802" s="13"/>
      <c r="E802" s="8"/>
    </row>
    <row r="803" spans="4:5" ht="15.75" customHeight="1">
      <c r="D803" s="13"/>
      <c r="E803" s="8"/>
    </row>
    <row r="804" spans="4:5" ht="15.75" customHeight="1">
      <c r="D804" s="13"/>
      <c r="E804" s="8"/>
    </row>
    <row r="805" spans="4:5" ht="15.75" customHeight="1">
      <c r="D805" s="13"/>
      <c r="E805" s="8"/>
    </row>
    <row r="806" spans="4:5" ht="15.75" customHeight="1">
      <c r="D806" s="13"/>
      <c r="E806" s="8"/>
    </row>
    <row r="807" spans="4:5" ht="15.75" customHeight="1">
      <c r="D807" s="13"/>
      <c r="E807" s="8"/>
    </row>
    <row r="808" spans="4:5" ht="15.75" customHeight="1">
      <c r="D808" s="13"/>
      <c r="E808" s="8"/>
    </row>
    <row r="809" spans="4:5" ht="15.75" customHeight="1">
      <c r="D809" s="13"/>
      <c r="E809" s="8"/>
    </row>
    <row r="810" spans="4:5" ht="15.75" customHeight="1">
      <c r="D810" s="13"/>
      <c r="E810" s="8"/>
    </row>
    <row r="811" spans="4:5" ht="15.75" customHeight="1">
      <c r="D811" s="13"/>
      <c r="E811" s="8"/>
    </row>
    <row r="812" spans="4:5" ht="15.75" customHeight="1">
      <c r="D812" s="13"/>
      <c r="E812" s="8"/>
    </row>
    <row r="813" spans="4:5" ht="15.75" customHeight="1">
      <c r="D813" s="13"/>
      <c r="E813" s="8"/>
    </row>
    <row r="814" spans="4:5" ht="15.75" customHeight="1">
      <c r="D814" s="13"/>
      <c r="E814" s="8"/>
    </row>
    <row r="815" spans="4:5" ht="15.75" customHeight="1">
      <c r="D815" s="13"/>
      <c r="E815" s="8"/>
    </row>
    <row r="816" spans="4:5" ht="15.75" customHeight="1">
      <c r="D816" s="13"/>
      <c r="E816" s="8"/>
    </row>
    <row r="817" spans="4:5" ht="15.75" customHeight="1">
      <c r="D817" s="13"/>
      <c r="E817" s="8"/>
    </row>
    <row r="818" spans="4:5" ht="15.75" customHeight="1">
      <c r="D818" s="13"/>
      <c r="E818" s="8"/>
    </row>
    <row r="819" spans="4:5" ht="15.75" customHeight="1">
      <c r="D819" s="13"/>
      <c r="E819" s="8"/>
    </row>
    <row r="820" spans="4:5" ht="15.75" customHeight="1">
      <c r="D820" s="13"/>
      <c r="E820" s="8"/>
    </row>
    <row r="821" spans="4:5" ht="15.75" customHeight="1">
      <c r="D821" s="13"/>
      <c r="E821" s="8"/>
    </row>
    <row r="822" spans="4:5" ht="15.75" customHeight="1">
      <c r="D822" s="13"/>
      <c r="E822" s="8"/>
    </row>
    <row r="823" spans="4:5" ht="15.75" customHeight="1">
      <c r="D823" s="13"/>
      <c r="E823" s="8"/>
    </row>
    <row r="824" spans="4:5" ht="15.75" customHeight="1">
      <c r="D824" s="13"/>
      <c r="E824" s="8"/>
    </row>
    <row r="825" spans="4:5" ht="15.75" customHeight="1">
      <c r="D825" s="13"/>
      <c r="E825" s="8"/>
    </row>
    <row r="826" spans="4:5" ht="15.75" customHeight="1">
      <c r="D826" s="13"/>
      <c r="E826" s="8"/>
    </row>
    <row r="827" spans="4:5" ht="15.75" customHeight="1">
      <c r="D827" s="13"/>
      <c r="E827" s="8"/>
    </row>
    <row r="828" spans="4:5" ht="15.75" customHeight="1">
      <c r="D828" s="13"/>
      <c r="E828" s="8"/>
    </row>
    <row r="829" spans="4:5" ht="15.75" customHeight="1">
      <c r="D829" s="13"/>
      <c r="E829" s="8"/>
    </row>
    <row r="830" spans="4:5" ht="15.75" customHeight="1">
      <c r="D830" s="13"/>
      <c r="E830" s="8"/>
    </row>
    <row r="831" spans="4:5" ht="15.75" customHeight="1">
      <c r="D831" s="13"/>
      <c r="E831" s="8"/>
    </row>
    <row r="832" spans="4:5" ht="15.75" customHeight="1">
      <c r="D832" s="13"/>
      <c r="E832" s="8"/>
    </row>
    <row r="833" spans="4:5" ht="15.75" customHeight="1">
      <c r="D833" s="13"/>
      <c r="E833" s="8"/>
    </row>
    <row r="834" spans="4:5" ht="15.75" customHeight="1">
      <c r="D834" s="13"/>
      <c r="E834" s="8"/>
    </row>
    <row r="835" spans="4:5" ht="15.75" customHeight="1">
      <c r="D835" s="13"/>
      <c r="E835" s="8"/>
    </row>
    <row r="836" spans="4:5" ht="15.75" customHeight="1">
      <c r="D836" s="13"/>
      <c r="E836" s="8"/>
    </row>
    <row r="837" spans="4:5" ht="15.75" customHeight="1">
      <c r="D837" s="13"/>
      <c r="E837" s="8"/>
    </row>
    <row r="838" spans="4:5" ht="15.75" customHeight="1">
      <c r="D838" s="13"/>
      <c r="E838" s="8"/>
    </row>
    <row r="839" spans="4:5" ht="15.75" customHeight="1">
      <c r="D839" s="13"/>
      <c r="E839" s="8"/>
    </row>
    <row r="840" spans="4:5" ht="15.75" customHeight="1">
      <c r="D840" s="13"/>
      <c r="E840" s="8"/>
    </row>
    <row r="841" spans="4:5" ht="15.75" customHeight="1">
      <c r="D841" s="13"/>
      <c r="E841" s="8"/>
    </row>
    <row r="842" spans="4:5" ht="15.75" customHeight="1">
      <c r="D842" s="13"/>
      <c r="E842" s="8"/>
    </row>
    <row r="843" spans="4:5" ht="15.75" customHeight="1">
      <c r="D843" s="13"/>
      <c r="E843" s="8"/>
    </row>
    <row r="844" spans="4:5" ht="15.75" customHeight="1">
      <c r="D844" s="13"/>
      <c r="E844" s="8"/>
    </row>
    <row r="845" spans="4:5" ht="15.75" customHeight="1">
      <c r="D845" s="13"/>
      <c r="E845" s="8"/>
    </row>
    <row r="846" spans="4:5" ht="15.75" customHeight="1">
      <c r="D846" s="13"/>
      <c r="E846" s="8"/>
    </row>
    <row r="847" spans="4:5" ht="15.75" customHeight="1">
      <c r="D847" s="13"/>
      <c r="E847" s="8"/>
    </row>
    <row r="848" spans="4:5" ht="15.75" customHeight="1">
      <c r="D848" s="13"/>
      <c r="E848" s="8"/>
    </row>
    <row r="849" spans="4:5" ht="15.75" customHeight="1">
      <c r="D849" s="13"/>
      <c r="E849" s="8"/>
    </row>
    <row r="850" spans="4:5" ht="15.75" customHeight="1">
      <c r="D850" s="13"/>
      <c r="E850" s="8"/>
    </row>
    <row r="851" spans="4:5" ht="15.75" customHeight="1">
      <c r="D851" s="13"/>
      <c r="E851" s="8"/>
    </row>
    <row r="852" spans="4:5" ht="15.75" customHeight="1">
      <c r="D852" s="13"/>
      <c r="E852" s="8"/>
    </row>
    <row r="853" spans="4:5" ht="15.75" customHeight="1">
      <c r="D853" s="13"/>
      <c r="E853" s="8"/>
    </row>
    <row r="854" spans="4:5" ht="15.75" customHeight="1">
      <c r="D854" s="13"/>
      <c r="E854" s="8"/>
    </row>
    <row r="855" spans="4:5" ht="15.75" customHeight="1">
      <c r="D855" s="13"/>
      <c r="E855" s="8"/>
    </row>
    <row r="856" spans="4:5" ht="15.75" customHeight="1">
      <c r="D856" s="13"/>
      <c r="E856" s="8"/>
    </row>
    <row r="857" spans="4:5" ht="15.75" customHeight="1">
      <c r="D857" s="13"/>
      <c r="E857" s="8"/>
    </row>
    <row r="858" spans="4:5" ht="15.75" customHeight="1">
      <c r="D858" s="13"/>
      <c r="E858" s="8"/>
    </row>
    <row r="859" spans="4:5" ht="15.75" customHeight="1">
      <c r="D859" s="13"/>
      <c r="E859" s="8"/>
    </row>
    <row r="860" spans="4:5" ht="15.75" customHeight="1">
      <c r="D860" s="13"/>
      <c r="E860" s="8"/>
    </row>
    <row r="861" spans="4:5" ht="15.75" customHeight="1">
      <c r="D861" s="13"/>
      <c r="E861" s="8"/>
    </row>
    <row r="862" spans="4:5" ht="15.75" customHeight="1">
      <c r="D862" s="13"/>
      <c r="E862" s="8"/>
    </row>
    <row r="863" spans="4:5" ht="15.75" customHeight="1">
      <c r="D863" s="13"/>
      <c r="E863" s="8"/>
    </row>
    <row r="864" spans="4:5" ht="15.75" customHeight="1">
      <c r="D864" s="13"/>
      <c r="E864" s="8"/>
    </row>
    <row r="865" spans="4:5" ht="15.75" customHeight="1">
      <c r="D865" s="13"/>
      <c r="E865" s="8"/>
    </row>
    <row r="866" spans="4:5" ht="15.75" customHeight="1">
      <c r="D866" s="13"/>
      <c r="E866" s="8"/>
    </row>
    <row r="867" spans="4:5" ht="15.75" customHeight="1">
      <c r="D867" s="13"/>
      <c r="E867" s="8"/>
    </row>
    <row r="868" spans="4:5" ht="15.75" customHeight="1">
      <c r="D868" s="13"/>
      <c r="E868" s="8"/>
    </row>
    <row r="869" spans="4:5" ht="15.75" customHeight="1">
      <c r="D869" s="13"/>
      <c r="E869" s="8"/>
    </row>
    <row r="870" spans="4:5" ht="15.75" customHeight="1">
      <c r="D870" s="13"/>
      <c r="E870" s="8"/>
    </row>
    <row r="871" spans="4:5" ht="15.75" customHeight="1">
      <c r="D871" s="13"/>
      <c r="E871" s="8"/>
    </row>
    <row r="872" spans="4:5" ht="15.75" customHeight="1">
      <c r="D872" s="13"/>
      <c r="E872" s="8"/>
    </row>
    <row r="873" spans="4:5" ht="15.75" customHeight="1">
      <c r="D873" s="13"/>
      <c r="E873" s="8"/>
    </row>
    <row r="874" spans="4:5" ht="15.75" customHeight="1">
      <c r="D874" s="13"/>
      <c r="E874" s="8"/>
    </row>
    <row r="875" spans="4:5" ht="15.75" customHeight="1">
      <c r="D875" s="13"/>
      <c r="E875" s="8"/>
    </row>
    <row r="876" spans="4:5" ht="15.75" customHeight="1">
      <c r="D876" s="13"/>
      <c r="E876" s="8"/>
    </row>
    <row r="877" spans="4:5" ht="15.75" customHeight="1">
      <c r="D877" s="13"/>
      <c r="E877" s="8"/>
    </row>
    <row r="878" spans="4:5" ht="15.75" customHeight="1">
      <c r="D878" s="13"/>
      <c r="E878" s="8"/>
    </row>
    <row r="879" spans="4:5" ht="15.75" customHeight="1">
      <c r="D879" s="13"/>
      <c r="E879" s="8"/>
    </row>
    <row r="880" spans="4:5" ht="15.75" customHeight="1">
      <c r="D880" s="13"/>
      <c r="E880" s="8"/>
    </row>
    <row r="881" spans="4:5" ht="15.75" customHeight="1">
      <c r="D881" s="13"/>
      <c r="E881" s="8"/>
    </row>
    <row r="882" spans="4:5" ht="15.75" customHeight="1">
      <c r="D882" s="13"/>
      <c r="E882" s="8"/>
    </row>
    <row r="883" spans="4:5" ht="15.75" customHeight="1">
      <c r="D883" s="13"/>
      <c r="E883" s="8"/>
    </row>
    <row r="884" spans="4:5" ht="15.75" customHeight="1">
      <c r="D884" s="13"/>
      <c r="E884" s="8"/>
    </row>
    <row r="885" spans="4:5" ht="15.75" customHeight="1">
      <c r="D885" s="13"/>
      <c r="E885" s="8"/>
    </row>
    <row r="886" spans="4:5" ht="15.75" customHeight="1">
      <c r="D886" s="13"/>
      <c r="E886" s="8"/>
    </row>
    <row r="887" spans="4:5" ht="15.75" customHeight="1">
      <c r="D887" s="13"/>
      <c r="E887" s="8"/>
    </row>
    <row r="888" spans="4:5" ht="15.75" customHeight="1">
      <c r="D888" s="13"/>
      <c r="E888" s="8"/>
    </row>
    <row r="889" spans="4:5" ht="15.75" customHeight="1">
      <c r="D889" s="13"/>
      <c r="E889" s="8"/>
    </row>
    <row r="890" spans="4:5" ht="15.75" customHeight="1">
      <c r="D890" s="13"/>
      <c r="E890" s="8"/>
    </row>
    <row r="891" spans="4:5" ht="15.75" customHeight="1">
      <c r="D891" s="13"/>
      <c r="E891" s="8"/>
    </row>
    <row r="892" spans="4:5" ht="15.75" customHeight="1">
      <c r="D892" s="13"/>
      <c r="E892" s="8"/>
    </row>
    <row r="893" spans="4:5" ht="15.75" customHeight="1">
      <c r="D893" s="13"/>
      <c r="E893" s="8"/>
    </row>
    <row r="894" spans="4:5" ht="15.75" customHeight="1">
      <c r="D894" s="13"/>
      <c r="E894" s="8"/>
    </row>
    <row r="895" spans="4:5" ht="15.75" customHeight="1">
      <c r="D895" s="13"/>
      <c r="E895" s="8"/>
    </row>
    <row r="896" spans="4:5" ht="15.75" customHeight="1">
      <c r="D896" s="13"/>
      <c r="E896" s="8"/>
    </row>
    <row r="897" spans="4:5" ht="15.75" customHeight="1">
      <c r="D897" s="13"/>
      <c r="E897" s="8"/>
    </row>
    <row r="898" spans="4:5" ht="15.75" customHeight="1">
      <c r="D898" s="13"/>
      <c r="E898" s="8"/>
    </row>
    <row r="899" spans="4:5" ht="15.75" customHeight="1">
      <c r="D899" s="13"/>
      <c r="E899" s="8"/>
    </row>
    <row r="900" spans="4:5" ht="15.75" customHeight="1">
      <c r="D900" s="13"/>
      <c r="E900" s="8"/>
    </row>
    <row r="901" spans="4:5" ht="15.75" customHeight="1">
      <c r="D901" s="13"/>
      <c r="E901" s="8"/>
    </row>
    <row r="902" spans="4:5" ht="15.75" customHeight="1">
      <c r="D902" s="13"/>
      <c r="E902" s="8"/>
    </row>
    <row r="903" spans="4:5" ht="15.75" customHeight="1">
      <c r="D903" s="13"/>
      <c r="E903" s="8"/>
    </row>
    <row r="904" spans="4:5" ht="15.75" customHeight="1">
      <c r="D904" s="13"/>
      <c r="E904" s="8"/>
    </row>
    <row r="905" spans="4:5" ht="15.75" customHeight="1">
      <c r="D905" s="13"/>
      <c r="E905" s="8"/>
    </row>
    <row r="906" spans="4:5" ht="15.75" customHeight="1">
      <c r="D906" s="13"/>
      <c r="E906" s="8"/>
    </row>
    <row r="907" spans="4:5" ht="15.75" customHeight="1">
      <c r="D907" s="13"/>
      <c r="E907" s="8"/>
    </row>
    <row r="908" spans="4:5" ht="15.75" customHeight="1">
      <c r="D908" s="13"/>
      <c r="E908" s="8"/>
    </row>
    <row r="909" spans="4:5" ht="15.75" customHeight="1">
      <c r="D909" s="13"/>
      <c r="E909" s="8"/>
    </row>
    <row r="910" spans="4:5" ht="15.75" customHeight="1">
      <c r="D910" s="13"/>
      <c r="E910" s="8"/>
    </row>
    <row r="911" spans="4:5" ht="15.75" customHeight="1">
      <c r="D911" s="13"/>
      <c r="E911" s="8"/>
    </row>
    <row r="912" spans="4:5" ht="15.75" customHeight="1">
      <c r="D912" s="13"/>
      <c r="E912" s="8"/>
    </row>
    <row r="913" spans="4:5" ht="15.75" customHeight="1">
      <c r="D913" s="13"/>
      <c r="E913" s="8"/>
    </row>
    <row r="914" spans="4:5" ht="15.75" customHeight="1">
      <c r="D914" s="13"/>
      <c r="E914" s="8"/>
    </row>
    <row r="915" spans="4:5" ht="15.75" customHeight="1">
      <c r="D915" s="13"/>
      <c r="E915" s="8"/>
    </row>
    <row r="916" spans="4:5" ht="15.75" customHeight="1">
      <c r="D916" s="13"/>
      <c r="E916" s="8"/>
    </row>
    <row r="917" spans="4:5" ht="15.75" customHeight="1">
      <c r="D917" s="13"/>
      <c r="E917" s="8"/>
    </row>
    <row r="918" spans="4:5" ht="15.75" customHeight="1">
      <c r="D918" s="13"/>
      <c r="E918" s="8"/>
    </row>
    <row r="919" spans="4:5" ht="15.75" customHeight="1">
      <c r="D919" s="13"/>
      <c r="E919" s="8"/>
    </row>
    <row r="920" spans="4:5" ht="15.75" customHeight="1">
      <c r="D920" s="13"/>
      <c r="E920" s="8"/>
    </row>
    <row r="921" spans="4:5" ht="15.75" customHeight="1">
      <c r="D921" s="13"/>
      <c r="E921" s="8"/>
    </row>
    <row r="922" spans="4:5" ht="15.75" customHeight="1">
      <c r="D922" s="13"/>
      <c r="E922" s="8"/>
    </row>
    <row r="923" spans="4:5" ht="15.75" customHeight="1">
      <c r="D923" s="13"/>
      <c r="E923" s="8"/>
    </row>
    <row r="924" spans="4:5" ht="15.75" customHeight="1">
      <c r="D924" s="13"/>
      <c r="E924" s="8"/>
    </row>
    <row r="925" spans="4:5" ht="15.75" customHeight="1">
      <c r="D925" s="13"/>
      <c r="E925" s="8"/>
    </row>
    <row r="926" spans="4:5" ht="15.75" customHeight="1">
      <c r="D926" s="13"/>
      <c r="E926" s="8"/>
    </row>
    <row r="927" spans="4:5" ht="15.75" customHeight="1">
      <c r="D927" s="13"/>
      <c r="E927" s="8"/>
    </row>
    <row r="928" spans="4:5" ht="15.75" customHeight="1">
      <c r="D928" s="13"/>
      <c r="E928" s="8"/>
    </row>
    <row r="929" spans="4:5" ht="15.75" customHeight="1">
      <c r="D929" s="13"/>
      <c r="E929" s="8"/>
    </row>
    <row r="930" spans="4:5" ht="15.75" customHeight="1">
      <c r="D930" s="13"/>
      <c r="E930" s="8"/>
    </row>
    <row r="931" spans="4:5" ht="15.75" customHeight="1">
      <c r="D931" s="13"/>
      <c r="E931" s="8"/>
    </row>
    <row r="932" spans="4:5" ht="15.75" customHeight="1">
      <c r="D932" s="13"/>
      <c r="E932" s="8"/>
    </row>
    <row r="933" spans="4:5" ht="15.75" customHeight="1">
      <c r="D933" s="13"/>
      <c r="E933" s="8"/>
    </row>
    <row r="934" spans="4:5" ht="15.75" customHeight="1">
      <c r="D934" s="13"/>
      <c r="E934" s="8"/>
    </row>
    <row r="935" spans="4:5" ht="15.75" customHeight="1">
      <c r="D935" s="13"/>
      <c r="E935" s="8"/>
    </row>
    <row r="936" spans="4:5" ht="15.75" customHeight="1">
      <c r="D936" s="13"/>
      <c r="E936" s="8"/>
    </row>
    <row r="937" spans="4:5" ht="15.75" customHeight="1">
      <c r="D937" s="13"/>
      <c r="E937" s="8"/>
    </row>
    <row r="938" spans="4:5" ht="15.75" customHeight="1">
      <c r="D938" s="13"/>
      <c r="E938" s="8"/>
    </row>
    <row r="939" spans="4:5" ht="15.75" customHeight="1">
      <c r="D939" s="13"/>
      <c r="E939" s="8"/>
    </row>
    <row r="940" spans="4:5" ht="15.75" customHeight="1">
      <c r="D940" s="13"/>
      <c r="E940" s="8"/>
    </row>
    <row r="941" spans="4:5" ht="15.75" customHeight="1">
      <c r="D941" s="13"/>
      <c r="E941" s="8"/>
    </row>
    <row r="942" spans="4:5" ht="15.75" customHeight="1">
      <c r="D942" s="13"/>
      <c r="E942" s="8"/>
    </row>
    <row r="943" spans="4:5" ht="15.75" customHeight="1">
      <c r="D943" s="13"/>
      <c r="E943" s="8"/>
    </row>
    <row r="944" spans="4:5" ht="15.75" customHeight="1">
      <c r="D944" s="13"/>
      <c r="E944" s="8"/>
    </row>
    <row r="945" spans="4:5" ht="15.75" customHeight="1">
      <c r="D945" s="13"/>
      <c r="E945" s="8"/>
    </row>
    <row r="946" spans="4:5" ht="15.75" customHeight="1">
      <c r="D946" s="13"/>
      <c r="E946" s="8"/>
    </row>
    <row r="947" spans="4:5" ht="15.75" customHeight="1">
      <c r="D947" s="13"/>
      <c r="E947" s="8"/>
    </row>
    <row r="948" spans="4:5" ht="15.75" customHeight="1">
      <c r="D948" s="13"/>
      <c r="E948" s="8"/>
    </row>
    <row r="949" spans="4:5" ht="15.75" customHeight="1">
      <c r="D949" s="13"/>
      <c r="E949" s="8"/>
    </row>
    <row r="950" spans="4:5" ht="15.75" customHeight="1">
      <c r="D950" s="13"/>
      <c r="E950" s="8"/>
    </row>
    <row r="951" spans="4:5" ht="15.75" customHeight="1">
      <c r="D951" s="13"/>
      <c r="E951" s="8"/>
    </row>
    <row r="952" spans="4:5" ht="15.75" customHeight="1">
      <c r="D952" s="13"/>
      <c r="E952" s="8"/>
    </row>
    <row r="953" spans="4:5" ht="15.75" customHeight="1">
      <c r="D953" s="13"/>
      <c r="E953" s="8"/>
    </row>
    <row r="954" spans="4:5" ht="15.75" customHeight="1">
      <c r="D954" s="13"/>
      <c r="E954" s="8"/>
    </row>
    <row r="955" spans="4:5" ht="15.75" customHeight="1">
      <c r="D955" s="13"/>
      <c r="E955" s="8"/>
    </row>
    <row r="956" spans="4:5" ht="15.75" customHeight="1">
      <c r="D956" s="13"/>
      <c r="E956" s="8"/>
    </row>
    <row r="957" spans="4:5" ht="15.75" customHeight="1">
      <c r="D957" s="13"/>
      <c r="E957" s="8"/>
    </row>
    <row r="958" spans="4:5" ht="15.75" customHeight="1">
      <c r="D958" s="13"/>
      <c r="E958" s="8"/>
    </row>
    <row r="959" spans="4:5" ht="15.75" customHeight="1">
      <c r="D959" s="13"/>
      <c r="E959" s="8"/>
    </row>
    <row r="960" spans="4:5" ht="15.75" customHeight="1">
      <c r="D960" s="13"/>
      <c r="E960" s="8"/>
    </row>
    <row r="961" spans="4:5" ht="15.75" customHeight="1">
      <c r="D961" s="13"/>
      <c r="E961" s="8"/>
    </row>
    <row r="962" spans="4:5" ht="15.75" customHeight="1">
      <c r="D962" s="13"/>
      <c r="E962" s="8"/>
    </row>
    <row r="963" spans="4:5" ht="15.75" customHeight="1">
      <c r="D963" s="13"/>
      <c r="E963" s="8"/>
    </row>
    <row r="964" spans="4:5" ht="15.75" customHeight="1">
      <c r="D964" s="13"/>
      <c r="E964" s="8"/>
    </row>
    <row r="965" spans="4:5" ht="15.75" customHeight="1">
      <c r="D965" s="13"/>
      <c r="E965" s="8"/>
    </row>
    <row r="966" spans="4:5" ht="15.75" customHeight="1">
      <c r="D966" s="13"/>
      <c r="E966" s="8"/>
    </row>
    <row r="967" spans="4:5" ht="15.75" customHeight="1">
      <c r="D967" s="13"/>
      <c r="E967" s="8"/>
    </row>
    <row r="968" spans="4:5" ht="15.75" customHeight="1">
      <c r="D968" s="13"/>
      <c r="E968" s="8"/>
    </row>
    <row r="969" spans="4:5" ht="15.75" customHeight="1">
      <c r="D969" s="13"/>
      <c r="E969" s="8"/>
    </row>
    <row r="970" spans="4:5" ht="15.75" customHeight="1">
      <c r="D970" s="13"/>
      <c r="E970" s="8"/>
    </row>
    <row r="971" spans="4:5" ht="15.75" customHeight="1">
      <c r="D971" s="13"/>
      <c r="E971" s="8"/>
    </row>
    <row r="972" spans="4:5" ht="15.75" customHeight="1">
      <c r="D972" s="13"/>
      <c r="E972" s="8"/>
    </row>
    <row r="973" spans="4:5" ht="15.75" customHeight="1">
      <c r="D973" s="13"/>
      <c r="E973" s="8"/>
    </row>
    <row r="974" spans="4:5" ht="15.75" customHeight="1">
      <c r="D974" s="13"/>
      <c r="E974" s="8"/>
    </row>
    <row r="975" spans="4:5" ht="15.75" customHeight="1">
      <c r="D975" s="13"/>
      <c r="E975" s="8"/>
    </row>
    <row r="976" spans="4:5" ht="15.75" customHeight="1">
      <c r="D976" s="13"/>
      <c r="E976" s="8"/>
    </row>
    <row r="977" spans="4:5" ht="15.75" customHeight="1">
      <c r="D977" s="13"/>
      <c r="E977" s="8"/>
    </row>
    <row r="978" spans="4:5" ht="15.75" customHeight="1">
      <c r="D978" s="13"/>
      <c r="E978" s="8"/>
    </row>
    <row r="979" spans="4:5" ht="15.75" customHeight="1">
      <c r="D979" s="13"/>
      <c r="E979" s="8"/>
    </row>
    <row r="980" spans="4:5" ht="15.75" customHeight="1">
      <c r="D980" s="13"/>
      <c r="E980" s="8"/>
    </row>
    <row r="981" spans="4:5" ht="15.75" customHeight="1">
      <c r="D981" s="13"/>
      <c r="E981" s="8"/>
    </row>
    <row r="982" spans="4:5" ht="15.75" customHeight="1">
      <c r="D982" s="13"/>
      <c r="E982" s="8"/>
    </row>
    <row r="983" spans="4:5" ht="15.75" customHeight="1">
      <c r="D983" s="13"/>
      <c r="E983" s="8"/>
    </row>
    <row r="984" spans="4:5" ht="15.75" customHeight="1">
      <c r="D984" s="13"/>
      <c r="E984" s="8"/>
    </row>
    <row r="985" spans="4:5" ht="15.75" customHeight="1">
      <c r="D985" s="13"/>
      <c r="E985" s="8"/>
    </row>
    <row r="986" spans="4:5" ht="15.75" customHeight="1">
      <c r="D986" s="13"/>
      <c r="E986" s="8"/>
    </row>
    <row r="987" spans="4:5" ht="15.75" customHeight="1">
      <c r="D987" s="13"/>
      <c r="E987" s="8"/>
    </row>
    <row r="988" spans="4:5" ht="15.75" customHeight="1">
      <c r="D988" s="13"/>
      <c r="E988" s="8"/>
    </row>
    <row r="989" spans="4:5" ht="15.75" customHeight="1">
      <c r="D989" s="13"/>
      <c r="E989" s="8"/>
    </row>
    <row r="990" spans="4:5" ht="15.75" customHeight="1">
      <c r="D990" s="13"/>
      <c r="E990" s="8"/>
    </row>
    <row r="991" spans="4:5" ht="15.75" customHeight="1">
      <c r="D991" s="13"/>
      <c r="E991" s="8"/>
    </row>
    <row r="992" spans="4:5" ht="15.75" customHeight="1">
      <c r="D992" s="13"/>
      <c r="E992" s="8"/>
    </row>
    <row r="993" spans="4:5" ht="15.75" customHeight="1">
      <c r="D993" s="13"/>
      <c r="E993" s="8"/>
    </row>
    <row r="994" spans="4:5" ht="15.75" customHeight="1">
      <c r="D994" s="13"/>
      <c r="E994" s="8"/>
    </row>
    <row r="995" spans="4:5" ht="15.75" customHeight="1">
      <c r="D995" s="13"/>
      <c r="E995" s="8"/>
    </row>
    <row r="996" spans="4:5" ht="15.75" customHeight="1">
      <c r="D996" s="13"/>
      <c r="E996" s="8"/>
    </row>
    <row r="997" spans="4:5" ht="15.75" customHeight="1">
      <c r="D997" s="13"/>
      <c r="E997" s="8"/>
    </row>
    <row r="998" spans="4:5" ht="15.75" customHeight="1">
      <c r="D998" s="13"/>
      <c r="E998" s="8"/>
    </row>
    <row r="999" spans="4:5" ht="15.75" customHeight="1">
      <c r="D999" s="13"/>
      <c r="E999" s="8"/>
    </row>
    <row r="1000" spans="4:5" ht="15.75" customHeight="1">
      <c r="D1000" s="13"/>
      <c r="E1000" s="8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>
      <selection activeCell="E3" sqref="E3"/>
    </sheetView>
  </sheetViews>
  <sheetFormatPr defaultColWidth="11.25" defaultRowHeight="15" customHeight="1"/>
  <cols>
    <col min="1" max="4" width="11" customWidth="1"/>
    <col min="5" max="5" width="12.125" customWidth="1"/>
    <col min="6" max="6" width="23.625" bestFit="1" customWidth="1"/>
    <col min="7" max="7" width="12" customWidth="1"/>
    <col min="8" max="8" width="12.875" customWidth="1"/>
    <col min="9" max="9" width="20.125" customWidth="1"/>
    <col min="10" max="10" width="22.875" customWidth="1"/>
    <col min="11" max="11" width="13.375" customWidth="1"/>
    <col min="12" max="22" width="11" customWidth="1"/>
    <col min="23" max="23" width="15.375" customWidth="1"/>
    <col min="24" max="24" width="14" customWidth="1"/>
    <col min="25" max="25" width="14.375" customWidth="1"/>
    <col min="26" max="26" width="11" customWidth="1"/>
  </cols>
  <sheetData>
    <row r="1" spans="1:25" ht="15.75" customHeight="1">
      <c r="A1" s="2" t="s">
        <v>17</v>
      </c>
      <c r="B1" s="2" t="s">
        <v>15</v>
      </c>
      <c r="C1" s="1" t="s">
        <v>0</v>
      </c>
      <c r="D1" s="2" t="s">
        <v>1</v>
      </c>
      <c r="E1" s="2" t="s">
        <v>18</v>
      </c>
      <c r="F1" s="2" t="s">
        <v>19</v>
      </c>
      <c r="G1" s="12" t="s">
        <v>14</v>
      </c>
      <c r="H1" s="2" t="s">
        <v>4</v>
      </c>
      <c r="I1" s="2" t="s">
        <v>5</v>
      </c>
      <c r="J1" s="2" t="s">
        <v>6</v>
      </c>
      <c r="K1" s="2" t="s">
        <v>38</v>
      </c>
    </row>
    <row r="2" spans="1:25" ht="15.75" customHeight="1">
      <c r="A2" s="4" t="str">
        <f t="shared" ref="A2:A65" si="0">IF(MONTH(C2)=1, "Jan",  IF(MONTH(C2) = 2, "Feb", IF(MONTH(C2) = 3, "Mar", IF(MONTH(C2) = 4, "Apr", IF(MONTH(C2) = 5, "May", IF(MONTH(C2) = 6, "Jun", IF(MONTH(C2) = 7, "Jul", IF(MONTH(C2) = 8, "Aug", IF(MONTH(C2) = 9, "Sep", IF(MONTH(C2) = 10, "Oct", IF(MONTH(C2) = 11, "Nov", "Dec")))))))))))</f>
        <v>Jan</v>
      </c>
      <c r="B2" s="4">
        <v>1</v>
      </c>
      <c r="C2" s="3">
        <v>21551</v>
      </c>
      <c r="D2" s="4">
        <v>35</v>
      </c>
      <c r="E2" s="13">
        <f t="shared" ref="E2:E65" si="1">$O$2+($O$3*B2)</f>
        <v>38.507433191107125</v>
      </c>
      <c r="F2" s="13">
        <f t="shared" ref="F2:F65" si="2">E2*K2</f>
        <v>35.891593510486501</v>
      </c>
      <c r="G2" s="13">
        <f>D2-F2</f>
        <v>-0.89159351048650137</v>
      </c>
      <c r="H2" s="13">
        <f>ABS(G2)</f>
        <v>0.89159351048650137</v>
      </c>
      <c r="I2" s="13">
        <f>H2^2</f>
        <v>0.79493898794164308</v>
      </c>
      <c r="J2" s="5">
        <f>H2/D2</f>
        <v>2.5474100299614326E-2</v>
      </c>
      <c r="K2" s="8">
        <f t="shared" ref="K2:K65" si="3">VLOOKUP(A2,$V$7:$Y$19,4,FALSE)</f>
        <v>0.93206922757903476</v>
      </c>
      <c r="N2" s="15" t="s">
        <v>20</v>
      </c>
      <c r="O2" s="15">
        <f>INTERCEPT(D2:D366,B2:B366)</f>
        <v>38.488348637663712</v>
      </c>
    </row>
    <row r="3" spans="1:25" ht="15.75" customHeight="1" thickBot="1">
      <c r="A3" s="4" t="str">
        <f t="shared" si="0"/>
        <v>Jan</v>
      </c>
      <c r="B3" s="4">
        <v>2</v>
      </c>
      <c r="C3" s="3">
        <v>21552</v>
      </c>
      <c r="D3" s="4">
        <v>32</v>
      </c>
      <c r="E3" s="13">
        <f t="shared" si="1"/>
        <v>38.526517744550539</v>
      </c>
      <c r="F3" s="13">
        <f t="shared" si="2"/>
        <v>35.909381635473196</v>
      </c>
      <c r="G3" s="13">
        <f t="shared" ref="G3:G66" si="4">D3-F3</f>
        <v>-3.9093816354731956</v>
      </c>
      <c r="H3" s="13">
        <f t="shared" ref="H3:H66" si="5">ABS(G3)</f>
        <v>3.9093816354731956</v>
      </c>
      <c r="I3" s="13">
        <f t="shared" ref="I3:I66" si="6">H3^2</f>
        <v>15.283264771775078</v>
      </c>
      <c r="J3" s="5">
        <f t="shared" ref="J3:J66" si="7">H3/D3</f>
        <v>0.12216817610853736</v>
      </c>
      <c r="K3" s="8">
        <f t="shared" si="3"/>
        <v>0.93206922757903476</v>
      </c>
      <c r="N3" s="16" t="s">
        <v>21</v>
      </c>
      <c r="O3" s="16">
        <f>SLOPE(D2:D366,B2:B366)</f>
        <v>1.9084553443412627E-2</v>
      </c>
    </row>
    <row r="4" spans="1:25" ht="15.75" customHeight="1">
      <c r="A4" s="4" t="str">
        <f t="shared" si="0"/>
        <v>Jan</v>
      </c>
      <c r="B4" s="4">
        <v>3</v>
      </c>
      <c r="C4" s="3">
        <v>21553</v>
      </c>
      <c r="D4" s="4">
        <v>30</v>
      </c>
      <c r="E4" s="13">
        <f t="shared" si="1"/>
        <v>38.545602297993952</v>
      </c>
      <c r="F4" s="13">
        <f t="shared" si="2"/>
        <v>35.92716976045989</v>
      </c>
      <c r="G4" s="13">
        <f t="shared" si="4"/>
        <v>-5.9271697604598899</v>
      </c>
      <c r="H4" s="13">
        <f t="shared" si="5"/>
        <v>5.9271697604598899</v>
      </c>
      <c r="I4" s="13">
        <f t="shared" si="6"/>
        <v>35.13134136931015</v>
      </c>
      <c r="J4" s="5">
        <f t="shared" si="7"/>
        <v>0.19757232534866301</v>
      </c>
      <c r="K4" s="8">
        <f t="shared" si="3"/>
        <v>0.93206922757903476</v>
      </c>
    </row>
    <row r="5" spans="1:25" ht="15.75" customHeight="1">
      <c r="A5" s="4" t="str">
        <f t="shared" si="0"/>
        <v>Jan</v>
      </c>
      <c r="B5" s="4">
        <v>4</v>
      </c>
      <c r="C5" s="3">
        <v>21554</v>
      </c>
      <c r="D5" s="4">
        <v>31</v>
      </c>
      <c r="E5" s="13">
        <f t="shared" si="1"/>
        <v>38.564686851437365</v>
      </c>
      <c r="F5" s="13">
        <f t="shared" si="2"/>
        <v>35.944957885446584</v>
      </c>
      <c r="G5" s="13">
        <f t="shared" si="4"/>
        <v>-4.9449578854465841</v>
      </c>
      <c r="H5" s="13">
        <f t="shared" si="5"/>
        <v>4.9449578854465841</v>
      </c>
      <c r="I5" s="13">
        <f t="shared" si="6"/>
        <v>24.452608488840351</v>
      </c>
      <c r="J5" s="5">
        <f t="shared" si="7"/>
        <v>0.15951477049827692</v>
      </c>
      <c r="K5" s="8">
        <f t="shared" si="3"/>
        <v>0.93206922757903476</v>
      </c>
    </row>
    <row r="6" spans="1:25" ht="15.75" customHeight="1">
      <c r="A6" s="4" t="str">
        <f t="shared" si="0"/>
        <v>Jan</v>
      </c>
      <c r="B6" s="4">
        <v>5</v>
      </c>
      <c r="C6" s="3">
        <v>21555</v>
      </c>
      <c r="D6" s="4">
        <v>44</v>
      </c>
      <c r="E6" s="13">
        <f t="shared" si="1"/>
        <v>38.583771404880778</v>
      </c>
      <c r="F6" s="13">
        <f t="shared" si="2"/>
        <v>35.962746010433278</v>
      </c>
      <c r="G6" s="13">
        <f t="shared" si="4"/>
        <v>8.0372539895667217</v>
      </c>
      <c r="H6" s="13">
        <f t="shared" si="5"/>
        <v>8.0372539895667217</v>
      </c>
      <c r="I6" s="13">
        <f t="shared" si="6"/>
        <v>64.597451692806189</v>
      </c>
      <c r="J6" s="5">
        <f t="shared" si="7"/>
        <v>0.18266486339924368</v>
      </c>
      <c r="K6" s="8">
        <f t="shared" si="3"/>
        <v>0.93206922757903476</v>
      </c>
      <c r="W6" s="17" t="s">
        <v>22</v>
      </c>
    </row>
    <row r="7" spans="1:25" ht="15.75" customHeight="1">
      <c r="A7" s="4" t="str">
        <f t="shared" si="0"/>
        <v>Jan</v>
      </c>
      <c r="B7" s="4">
        <v>6</v>
      </c>
      <c r="C7" s="3">
        <v>21556</v>
      </c>
      <c r="D7" s="4">
        <v>29</v>
      </c>
      <c r="E7" s="13">
        <f t="shared" si="1"/>
        <v>38.602855958324191</v>
      </c>
      <c r="F7" s="13">
        <f t="shared" si="2"/>
        <v>35.980534135419965</v>
      </c>
      <c r="G7" s="13">
        <f t="shared" si="4"/>
        <v>-6.9805341354199655</v>
      </c>
      <c r="H7" s="13">
        <f t="shared" si="5"/>
        <v>6.9805341354199655</v>
      </c>
      <c r="I7" s="13">
        <f t="shared" si="6"/>
        <v>48.727856815763367</v>
      </c>
      <c r="J7" s="5">
        <f t="shared" si="7"/>
        <v>0.24070807363517122</v>
      </c>
      <c r="K7" s="8">
        <f t="shared" si="3"/>
        <v>0.93206922757903476</v>
      </c>
      <c r="V7" s="6" t="s">
        <v>17</v>
      </c>
      <c r="W7" s="6" t="s">
        <v>23</v>
      </c>
      <c r="X7" s="6" t="s">
        <v>24</v>
      </c>
      <c r="Y7" s="6" t="s">
        <v>25</v>
      </c>
    </row>
    <row r="8" spans="1:25" ht="15.75" customHeight="1">
      <c r="A8" s="4" t="str">
        <f t="shared" si="0"/>
        <v>Jan</v>
      </c>
      <c r="B8" s="4">
        <v>7</v>
      </c>
      <c r="C8" s="3">
        <v>21557</v>
      </c>
      <c r="D8" s="4">
        <v>45</v>
      </c>
      <c r="E8" s="13">
        <f t="shared" si="1"/>
        <v>38.621940511767598</v>
      </c>
      <c r="F8" s="13">
        <f t="shared" si="2"/>
        <v>35.998322260406653</v>
      </c>
      <c r="G8" s="13">
        <f t="shared" si="4"/>
        <v>9.0016777395933474</v>
      </c>
      <c r="H8" s="13">
        <f t="shared" si="5"/>
        <v>9.0016777395933474</v>
      </c>
      <c r="I8" s="13">
        <f t="shared" si="6"/>
        <v>81.030202127490398</v>
      </c>
      <c r="J8" s="5">
        <f t="shared" si="7"/>
        <v>0.20003728310207439</v>
      </c>
      <c r="K8" s="8">
        <f t="shared" si="3"/>
        <v>0.93206922757903476</v>
      </c>
      <c r="N8" s="6" t="s">
        <v>7</v>
      </c>
      <c r="O8" s="7">
        <f>AVERAGE(H2:H366)</f>
        <v>5.6272218112411752</v>
      </c>
      <c r="V8" s="18" t="s">
        <v>26</v>
      </c>
      <c r="W8" s="13">
        <f>AVERAGEIF($A$2:$A$366,V8,$D$2:$D$366)</f>
        <v>39.12903225806452</v>
      </c>
      <c r="X8" s="13">
        <f t="shared" ref="X8:X19" si="8">AVERAGE($D$2:$D$366)</f>
        <v>41.980821917808221</v>
      </c>
      <c r="Y8" s="8">
        <f t="shared" ref="Y8:Y19" si="9">W8/X8</f>
        <v>0.93206922757903476</v>
      </c>
    </row>
    <row r="9" spans="1:25" ht="15.75" customHeight="1">
      <c r="A9" s="4" t="str">
        <f t="shared" si="0"/>
        <v>Jan</v>
      </c>
      <c r="B9" s="4">
        <v>8</v>
      </c>
      <c r="C9" s="3">
        <v>21558</v>
      </c>
      <c r="D9" s="4">
        <v>43</v>
      </c>
      <c r="E9" s="13">
        <f t="shared" si="1"/>
        <v>38.641025065211011</v>
      </c>
      <c r="F9" s="13">
        <f t="shared" si="2"/>
        <v>36.016110385393347</v>
      </c>
      <c r="G9" s="13">
        <f t="shared" si="4"/>
        <v>6.9838896146066531</v>
      </c>
      <c r="H9" s="13">
        <f t="shared" si="5"/>
        <v>6.9838896146066531</v>
      </c>
      <c r="I9" s="13">
        <f t="shared" si="6"/>
        <v>48.774714149010663</v>
      </c>
      <c r="J9" s="5">
        <f t="shared" si="7"/>
        <v>0.16241603754899192</v>
      </c>
      <c r="K9" s="8">
        <f t="shared" si="3"/>
        <v>0.93206922757903476</v>
      </c>
      <c r="N9" s="2" t="s">
        <v>8</v>
      </c>
      <c r="O9" s="8">
        <f>AVERAGE(I2:I366)</f>
        <v>50.409445478174696</v>
      </c>
      <c r="V9" s="18" t="s">
        <v>27</v>
      </c>
      <c r="W9" s="13">
        <f t="shared" ref="W9:W19" si="10">AVERAGEIF($A$2:$A$366,V9,$D$2:$D$366)</f>
        <v>41</v>
      </c>
      <c r="X9" s="13">
        <f t="shared" si="8"/>
        <v>41.980821917808221</v>
      </c>
      <c r="Y9" s="8">
        <f t="shared" si="9"/>
        <v>0.97663642889773539</v>
      </c>
    </row>
    <row r="10" spans="1:25" ht="15.75" customHeight="1">
      <c r="A10" s="4" t="str">
        <f t="shared" si="0"/>
        <v>Jan</v>
      </c>
      <c r="B10" s="4">
        <v>9</v>
      </c>
      <c r="C10" s="3">
        <v>21559</v>
      </c>
      <c r="D10" s="4">
        <v>38</v>
      </c>
      <c r="E10" s="13">
        <f t="shared" si="1"/>
        <v>38.660109618654424</v>
      </c>
      <c r="F10" s="13">
        <f t="shared" si="2"/>
        <v>36.033898510380041</v>
      </c>
      <c r="G10" s="13">
        <f t="shared" si="4"/>
        <v>1.9661014896199589</v>
      </c>
      <c r="H10" s="13">
        <f t="shared" si="5"/>
        <v>1.9661014896199589</v>
      </c>
      <c r="I10" s="13">
        <f t="shared" si="6"/>
        <v>3.8655550674858214</v>
      </c>
      <c r="J10" s="5">
        <f t="shared" si="7"/>
        <v>5.1739512884735758E-2</v>
      </c>
      <c r="K10" s="8">
        <f t="shared" si="3"/>
        <v>0.93206922757903476</v>
      </c>
      <c r="N10" s="2" t="s">
        <v>9</v>
      </c>
      <c r="O10" s="21">
        <f>AVERAGE(J2:J366)</f>
        <v>0.13778263128762683</v>
      </c>
      <c r="V10" s="18" t="s">
        <v>28</v>
      </c>
      <c r="W10" s="13">
        <f t="shared" si="10"/>
        <v>39.29032258064516</v>
      </c>
      <c r="X10" s="13">
        <f t="shared" si="8"/>
        <v>41.980821917808221</v>
      </c>
      <c r="Y10" s="8">
        <f t="shared" si="9"/>
        <v>0.93591122769271573</v>
      </c>
    </row>
    <row r="11" spans="1:25" ht="15.75" customHeight="1" thickBot="1">
      <c r="A11" s="4" t="str">
        <f t="shared" si="0"/>
        <v>Jan</v>
      </c>
      <c r="B11" s="4">
        <v>10</v>
      </c>
      <c r="C11" s="3">
        <v>21560</v>
      </c>
      <c r="D11" s="4">
        <v>27</v>
      </c>
      <c r="E11" s="13">
        <f t="shared" si="1"/>
        <v>38.679194172097837</v>
      </c>
      <c r="F11" s="13">
        <f t="shared" si="2"/>
        <v>36.051686635366735</v>
      </c>
      <c r="G11" s="13">
        <f t="shared" si="4"/>
        <v>-9.0516866353667353</v>
      </c>
      <c r="H11" s="13">
        <f t="shared" si="5"/>
        <v>9.0516866353667353</v>
      </c>
      <c r="I11" s="13">
        <f t="shared" si="6"/>
        <v>81.933030944876776</v>
      </c>
      <c r="J11" s="5">
        <f t="shared" si="7"/>
        <v>0.33524765316173094</v>
      </c>
      <c r="K11" s="8">
        <f t="shared" si="3"/>
        <v>0.93206922757903476</v>
      </c>
      <c r="N11" s="14" t="s">
        <v>10</v>
      </c>
      <c r="O11" s="27">
        <f>100%-O10</f>
        <v>0.8622173687123732</v>
      </c>
      <c r="V11" s="18" t="s">
        <v>29</v>
      </c>
      <c r="W11" s="13">
        <f t="shared" si="10"/>
        <v>39.833333333333336</v>
      </c>
      <c r="X11" s="13">
        <f t="shared" si="8"/>
        <v>41.980821917808221</v>
      </c>
      <c r="Y11" s="8">
        <f t="shared" si="9"/>
        <v>0.94884596140877553</v>
      </c>
    </row>
    <row r="12" spans="1:25" ht="15.75" customHeight="1">
      <c r="A12" s="4" t="str">
        <f t="shared" si="0"/>
        <v>Jan</v>
      </c>
      <c r="B12" s="4">
        <v>11</v>
      </c>
      <c r="C12" s="3">
        <v>21561</v>
      </c>
      <c r="D12" s="4">
        <v>38</v>
      </c>
      <c r="E12" s="13">
        <f t="shared" si="1"/>
        <v>38.69827872554125</v>
      </c>
      <c r="F12" s="13">
        <f t="shared" si="2"/>
        <v>36.06947476035343</v>
      </c>
      <c r="G12" s="13">
        <f t="shared" si="4"/>
        <v>1.9305252396465704</v>
      </c>
      <c r="H12" s="13">
        <f t="shared" si="5"/>
        <v>1.9305252396465704</v>
      </c>
      <c r="I12" s="13">
        <f t="shared" si="6"/>
        <v>3.726927700912448</v>
      </c>
      <c r="J12" s="5">
        <f t="shared" si="7"/>
        <v>5.0803295780172904E-2</v>
      </c>
      <c r="K12" s="8">
        <f t="shared" si="3"/>
        <v>0.93206922757903476</v>
      </c>
      <c r="V12" s="18" t="s">
        <v>30</v>
      </c>
      <c r="W12" s="13">
        <f t="shared" si="10"/>
        <v>38.967741935483872</v>
      </c>
      <c r="X12" s="13">
        <f t="shared" si="8"/>
        <v>41.980821917808221</v>
      </c>
      <c r="Y12" s="8">
        <f t="shared" si="9"/>
        <v>0.92822722746535358</v>
      </c>
    </row>
    <row r="13" spans="1:25" ht="15.75" customHeight="1">
      <c r="A13" s="4" t="str">
        <f t="shared" si="0"/>
        <v>Jan</v>
      </c>
      <c r="B13" s="4">
        <v>12</v>
      </c>
      <c r="C13" s="3">
        <v>21562</v>
      </c>
      <c r="D13" s="4">
        <v>33</v>
      </c>
      <c r="E13" s="13">
        <f t="shared" si="1"/>
        <v>38.717363278984664</v>
      </c>
      <c r="F13" s="13">
        <f t="shared" si="2"/>
        <v>36.087262885340117</v>
      </c>
      <c r="G13" s="13">
        <f t="shared" si="4"/>
        <v>-3.0872628853401167</v>
      </c>
      <c r="H13" s="13">
        <f t="shared" si="5"/>
        <v>3.0872628853401167</v>
      </c>
      <c r="I13" s="13">
        <f t="shared" si="6"/>
        <v>9.5311921231985828</v>
      </c>
      <c r="J13" s="5">
        <f t="shared" si="7"/>
        <v>9.3553420767882325E-2</v>
      </c>
      <c r="K13" s="8">
        <f t="shared" si="3"/>
        <v>0.93206922757903476</v>
      </c>
      <c r="V13" s="18" t="s">
        <v>31</v>
      </c>
      <c r="W13" s="13">
        <f t="shared" si="10"/>
        <v>40.4</v>
      </c>
      <c r="X13" s="13">
        <f t="shared" si="8"/>
        <v>41.980821917808221</v>
      </c>
      <c r="Y13" s="8">
        <f t="shared" si="9"/>
        <v>0.96234418847484171</v>
      </c>
    </row>
    <row r="14" spans="1:25" ht="15.75" customHeight="1">
      <c r="A14" s="4" t="str">
        <f t="shared" si="0"/>
        <v>Jan</v>
      </c>
      <c r="B14" s="4">
        <v>13</v>
      </c>
      <c r="C14" s="3">
        <v>21563</v>
      </c>
      <c r="D14" s="4">
        <v>55</v>
      </c>
      <c r="E14" s="13">
        <f t="shared" si="1"/>
        <v>38.736447832428077</v>
      </c>
      <c r="F14" s="13">
        <f t="shared" si="2"/>
        <v>36.105051010326811</v>
      </c>
      <c r="G14" s="13">
        <f t="shared" si="4"/>
        <v>18.894948989673189</v>
      </c>
      <c r="H14" s="13">
        <f t="shared" si="5"/>
        <v>18.894948989673189</v>
      </c>
      <c r="I14" s="13">
        <f t="shared" si="6"/>
        <v>357.01909732235185</v>
      </c>
      <c r="J14" s="5">
        <f t="shared" si="7"/>
        <v>0.34354452708496708</v>
      </c>
      <c r="K14" s="8">
        <f t="shared" si="3"/>
        <v>0.93206922757903476</v>
      </c>
      <c r="V14" s="18" t="s">
        <v>32</v>
      </c>
      <c r="W14" s="13">
        <f t="shared" si="10"/>
        <v>41.935483870967744</v>
      </c>
      <c r="X14" s="13">
        <f t="shared" si="8"/>
        <v>41.980821917808221</v>
      </c>
      <c r="Y14" s="8">
        <f t="shared" si="9"/>
        <v>0.99892002955708581</v>
      </c>
    </row>
    <row r="15" spans="1:25" ht="15.75" customHeight="1">
      <c r="A15" s="4" t="str">
        <f t="shared" si="0"/>
        <v>Jan</v>
      </c>
      <c r="B15" s="4">
        <v>14</v>
      </c>
      <c r="C15" s="3">
        <v>21564</v>
      </c>
      <c r="D15" s="4">
        <v>47</v>
      </c>
      <c r="E15" s="13">
        <f t="shared" si="1"/>
        <v>38.75553238587149</v>
      </c>
      <c r="F15" s="13">
        <f t="shared" si="2"/>
        <v>36.122839135313505</v>
      </c>
      <c r="G15" s="13">
        <f t="shared" si="4"/>
        <v>10.877160864686495</v>
      </c>
      <c r="H15" s="13">
        <f t="shared" si="5"/>
        <v>10.877160864686495</v>
      </c>
      <c r="I15" s="13">
        <f t="shared" si="6"/>
        <v>118.31262847626745</v>
      </c>
      <c r="J15" s="5">
        <f t="shared" si="7"/>
        <v>0.23142895456779777</v>
      </c>
      <c r="K15" s="8">
        <f t="shared" si="3"/>
        <v>0.93206922757903476</v>
      </c>
      <c r="V15" s="18" t="s">
        <v>33</v>
      </c>
      <c r="W15" s="13">
        <f t="shared" si="10"/>
        <v>43.58064516129032</v>
      </c>
      <c r="X15" s="13">
        <f t="shared" si="8"/>
        <v>41.980821917808221</v>
      </c>
      <c r="Y15" s="8">
        <f t="shared" si="9"/>
        <v>1.0381084307166328</v>
      </c>
    </row>
    <row r="16" spans="1:25" ht="15.75" customHeight="1">
      <c r="A16" s="4" t="str">
        <f t="shared" si="0"/>
        <v>Jan</v>
      </c>
      <c r="B16" s="4">
        <v>15</v>
      </c>
      <c r="C16" s="3">
        <v>21565</v>
      </c>
      <c r="D16" s="4">
        <v>45</v>
      </c>
      <c r="E16" s="13">
        <f t="shared" si="1"/>
        <v>38.774616939314903</v>
      </c>
      <c r="F16" s="13">
        <f t="shared" si="2"/>
        <v>36.140627260300199</v>
      </c>
      <c r="G16" s="13">
        <f t="shared" si="4"/>
        <v>8.8593727396998005</v>
      </c>
      <c r="H16" s="13">
        <f t="shared" si="5"/>
        <v>8.8593727396998005</v>
      </c>
      <c r="I16" s="13">
        <f t="shared" si="6"/>
        <v>78.488485340935952</v>
      </c>
      <c r="J16" s="5">
        <f t="shared" si="7"/>
        <v>0.19687494977110667</v>
      </c>
      <c r="K16" s="8">
        <f t="shared" si="3"/>
        <v>0.93206922757903476</v>
      </c>
      <c r="V16" s="18" t="s">
        <v>34</v>
      </c>
      <c r="W16" s="13">
        <f t="shared" si="10"/>
        <v>48.2</v>
      </c>
      <c r="X16" s="13">
        <f t="shared" si="8"/>
        <v>41.980821917808221</v>
      </c>
      <c r="Y16" s="8">
        <f t="shared" si="9"/>
        <v>1.1481433139724597</v>
      </c>
    </row>
    <row r="17" spans="1:25" ht="15.75" customHeight="1">
      <c r="A17" s="4" t="str">
        <f t="shared" si="0"/>
        <v>Jan</v>
      </c>
      <c r="B17" s="4">
        <v>16</v>
      </c>
      <c r="C17" s="3">
        <v>21566</v>
      </c>
      <c r="D17" s="4">
        <v>37</v>
      </c>
      <c r="E17" s="13">
        <f t="shared" si="1"/>
        <v>38.793701492758316</v>
      </c>
      <c r="F17" s="13">
        <f t="shared" si="2"/>
        <v>36.158415385286894</v>
      </c>
      <c r="G17" s="13">
        <f t="shared" si="4"/>
        <v>0.8415846147131063</v>
      </c>
      <c r="H17" s="13">
        <f t="shared" si="5"/>
        <v>0.8415846147131063</v>
      </c>
      <c r="I17" s="13">
        <f t="shared" si="6"/>
        <v>0.70826466372180763</v>
      </c>
      <c r="J17" s="5">
        <f t="shared" si="7"/>
        <v>2.2745530127381251E-2</v>
      </c>
      <c r="K17" s="8">
        <f t="shared" si="3"/>
        <v>0.93206922757903476</v>
      </c>
      <c r="V17" s="18" t="s">
        <v>35</v>
      </c>
      <c r="W17" s="13">
        <f t="shared" si="10"/>
        <v>44.12903225806452</v>
      </c>
      <c r="X17" s="13">
        <f t="shared" si="8"/>
        <v>41.980821917808221</v>
      </c>
      <c r="Y17" s="8">
        <f t="shared" si="9"/>
        <v>1.0511712311031487</v>
      </c>
    </row>
    <row r="18" spans="1:25" ht="15.75" customHeight="1">
      <c r="A18" s="4" t="str">
        <f t="shared" si="0"/>
        <v>Jan</v>
      </c>
      <c r="B18" s="4">
        <v>17</v>
      </c>
      <c r="C18" s="3">
        <v>21567</v>
      </c>
      <c r="D18" s="4">
        <v>50</v>
      </c>
      <c r="E18" s="13">
        <f t="shared" si="1"/>
        <v>38.81278604620173</v>
      </c>
      <c r="F18" s="13">
        <f t="shared" si="2"/>
        <v>36.176203510273588</v>
      </c>
      <c r="G18" s="13">
        <f t="shared" si="4"/>
        <v>13.823796489726412</v>
      </c>
      <c r="H18" s="13">
        <f t="shared" si="5"/>
        <v>13.823796489726412</v>
      </c>
      <c r="I18" s="13">
        <f t="shared" si="6"/>
        <v>191.09734938937228</v>
      </c>
      <c r="J18" s="5">
        <f t="shared" si="7"/>
        <v>0.27647592979452823</v>
      </c>
      <c r="K18" s="8">
        <f t="shared" si="3"/>
        <v>0.93206922757903476</v>
      </c>
      <c r="V18" s="18" t="s">
        <v>36</v>
      </c>
      <c r="W18" s="13">
        <f t="shared" si="10"/>
        <v>45</v>
      </c>
      <c r="X18" s="13">
        <f t="shared" si="8"/>
        <v>41.980821917808221</v>
      </c>
      <c r="Y18" s="8">
        <f t="shared" si="9"/>
        <v>1.0719180317170267</v>
      </c>
    </row>
    <row r="19" spans="1:25" ht="15.75" customHeight="1" thickBot="1">
      <c r="A19" s="4" t="str">
        <f t="shared" si="0"/>
        <v>Jan</v>
      </c>
      <c r="B19" s="4">
        <v>18</v>
      </c>
      <c r="C19" s="3">
        <v>21568</v>
      </c>
      <c r="D19" s="4">
        <v>43</v>
      </c>
      <c r="E19" s="13">
        <f t="shared" si="1"/>
        <v>38.831870599645143</v>
      </c>
      <c r="F19" s="13">
        <f t="shared" si="2"/>
        <v>36.193991635260275</v>
      </c>
      <c r="G19" s="13">
        <f t="shared" si="4"/>
        <v>6.8060083647397249</v>
      </c>
      <c r="H19" s="13">
        <f t="shared" si="5"/>
        <v>6.8060083647397249</v>
      </c>
      <c r="I19" s="13">
        <f t="shared" si="6"/>
        <v>46.321749860907104</v>
      </c>
      <c r="J19" s="5">
        <f t="shared" si="7"/>
        <v>0.15827926429627268</v>
      </c>
      <c r="K19" s="8">
        <f t="shared" si="3"/>
        <v>0.93206922757903476</v>
      </c>
      <c r="V19" s="16" t="s">
        <v>37</v>
      </c>
      <c r="W19" s="19">
        <f t="shared" si="10"/>
        <v>42.387096774193552</v>
      </c>
      <c r="X19" s="19">
        <f t="shared" si="8"/>
        <v>41.980821917808221</v>
      </c>
      <c r="Y19" s="20">
        <f t="shared" si="9"/>
        <v>1.0096776298753929</v>
      </c>
    </row>
    <row r="20" spans="1:25" ht="15.75" customHeight="1">
      <c r="A20" s="4" t="str">
        <f t="shared" si="0"/>
        <v>Jan</v>
      </c>
      <c r="B20" s="4">
        <v>19</v>
      </c>
      <c r="C20" s="3">
        <v>21569</v>
      </c>
      <c r="D20" s="4">
        <v>41</v>
      </c>
      <c r="E20" s="13">
        <f t="shared" si="1"/>
        <v>38.850955153088549</v>
      </c>
      <c r="F20" s="13">
        <f t="shared" si="2"/>
        <v>36.211779760246962</v>
      </c>
      <c r="G20" s="13">
        <f t="shared" si="4"/>
        <v>4.7882202397530378</v>
      </c>
      <c r="H20" s="13">
        <f t="shared" si="5"/>
        <v>4.7882202397530378</v>
      </c>
      <c r="I20" s="13">
        <f t="shared" si="6"/>
        <v>22.92705306438064</v>
      </c>
      <c r="J20" s="5">
        <f t="shared" si="7"/>
        <v>0.11678585950617165</v>
      </c>
      <c r="K20" s="8">
        <f t="shared" si="3"/>
        <v>0.93206922757903476</v>
      </c>
    </row>
    <row r="21" spans="1:25" ht="15.75" customHeight="1">
      <c r="A21" s="4" t="str">
        <f t="shared" si="0"/>
        <v>Jan</v>
      </c>
      <c r="B21" s="4">
        <v>20</v>
      </c>
      <c r="C21" s="3">
        <v>21570</v>
      </c>
      <c r="D21" s="4">
        <v>52</v>
      </c>
      <c r="E21" s="13">
        <f t="shared" si="1"/>
        <v>38.870039706531962</v>
      </c>
      <c r="F21" s="13">
        <f t="shared" si="2"/>
        <v>36.229567885233656</v>
      </c>
      <c r="G21" s="13">
        <f t="shared" si="4"/>
        <v>15.770432114766344</v>
      </c>
      <c r="H21" s="13">
        <f t="shared" si="5"/>
        <v>15.770432114766344</v>
      </c>
      <c r="I21" s="13">
        <f t="shared" si="6"/>
        <v>248.70652908645366</v>
      </c>
      <c r="J21" s="5">
        <f t="shared" si="7"/>
        <v>0.30327754066858353</v>
      </c>
      <c r="K21" s="8">
        <f t="shared" si="3"/>
        <v>0.93206922757903476</v>
      </c>
    </row>
    <row r="22" spans="1:25" ht="15.75" customHeight="1">
      <c r="A22" s="4" t="str">
        <f t="shared" si="0"/>
        <v>Jan</v>
      </c>
      <c r="B22" s="4">
        <v>21</v>
      </c>
      <c r="C22" s="3">
        <v>21571</v>
      </c>
      <c r="D22" s="4">
        <v>34</v>
      </c>
      <c r="E22" s="13">
        <f t="shared" si="1"/>
        <v>38.889124259975375</v>
      </c>
      <c r="F22" s="13">
        <f t="shared" si="2"/>
        <v>36.247356010220351</v>
      </c>
      <c r="G22" s="13">
        <f t="shared" si="4"/>
        <v>-2.2473560102203507</v>
      </c>
      <c r="H22" s="13">
        <f t="shared" si="5"/>
        <v>2.2473560102203507</v>
      </c>
      <c r="I22" s="13">
        <f t="shared" si="6"/>
        <v>5.0506090366735332</v>
      </c>
      <c r="J22" s="5">
        <f t="shared" si="7"/>
        <v>6.6098706182951494E-2</v>
      </c>
      <c r="K22" s="8">
        <f t="shared" si="3"/>
        <v>0.93206922757903476</v>
      </c>
    </row>
    <row r="23" spans="1:25" ht="15.75" customHeight="1">
      <c r="A23" s="4" t="str">
        <f t="shared" si="0"/>
        <v>Jan</v>
      </c>
      <c r="B23" s="4">
        <v>22</v>
      </c>
      <c r="C23" s="3">
        <v>21572</v>
      </c>
      <c r="D23" s="4">
        <v>53</v>
      </c>
      <c r="E23" s="13">
        <f t="shared" si="1"/>
        <v>38.908208813418788</v>
      </c>
      <c r="F23" s="13">
        <f t="shared" si="2"/>
        <v>36.265144135207045</v>
      </c>
      <c r="G23" s="13">
        <f t="shared" si="4"/>
        <v>16.734855864792955</v>
      </c>
      <c r="H23" s="13">
        <f t="shared" si="5"/>
        <v>16.734855864792955</v>
      </c>
      <c r="I23" s="13">
        <f t="shared" si="6"/>
        <v>280.05540081539516</v>
      </c>
      <c r="J23" s="5">
        <f t="shared" si="7"/>
        <v>0.31575199744892368</v>
      </c>
      <c r="K23" s="8">
        <f t="shared" si="3"/>
        <v>0.93206922757903476</v>
      </c>
    </row>
    <row r="24" spans="1:25" ht="15.75" customHeight="1">
      <c r="A24" s="4" t="str">
        <f t="shared" si="0"/>
        <v>Jan</v>
      </c>
      <c r="B24" s="4">
        <v>23</v>
      </c>
      <c r="C24" s="3">
        <v>21573</v>
      </c>
      <c r="D24" s="4">
        <v>39</v>
      </c>
      <c r="E24" s="13">
        <f t="shared" si="1"/>
        <v>38.927293366862202</v>
      </c>
      <c r="F24" s="13">
        <f t="shared" si="2"/>
        <v>36.282932260193739</v>
      </c>
      <c r="G24" s="13">
        <f t="shared" si="4"/>
        <v>2.7170677398062608</v>
      </c>
      <c r="H24" s="13">
        <f t="shared" si="5"/>
        <v>2.7170677398062608</v>
      </c>
      <c r="I24" s="13">
        <f t="shared" si="6"/>
        <v>7.3824571026959029</v>
      </c>
      <c r="J24" s="5">
        <f t="shared" si="7"/>
        <v>6.9668403584775912E-2</v>
      </c>
      <c r="K24" s="8">
        <f t="shared" si="3"/>
        <v>0.93206922757903476</v>
      </c>
    </row>
    <row r="25" spans="1:25" ht="15.75" customHeight="1">
      <c r="A25" s="4" t="str">
        <f t="shared" si="0"/>
        <v>Jan</v>
      </c>
      <c r="B25" s="4">
        <v>24</v>
      </c>
      <c r="C25" s="3">
        <v>21574</v>
      </c>
      <c r="D25" s="4">
        <v>32</v>
      </c>
      <c r="E25" s="13">
        <f t="shared" si="1"/>
        <v>38.946377920305615</v>
      </c>
      <c r="F25" s="13">
        <f t="shared" si="2"/>
        <v>36.300720385180426</v>
      </c>
      <c r="G25" s="13">
        <f t="shared" si="4"/>
        <v>-4.3007203851804263</v>
      </c>
      <c r="H25" s="13">
        <f t="shared" si="5"/>
        <v>4.3007203851804263</v>
      </c>
      <c r="I25" s="13">
        <f t="shared" si="6"/>
        <v>18.496195831506476</v>
      </c>
      <c r="J25" s="5">
        <f t="shared" si="7"/>
        <v>0.13439751203688832</v>
      </c>
      <c r="K25" s="8">
        <f t="shared" si="3"/>
        <v>0.93206922757903476</v>
      </c>
    </row>
    <row r="26" spans="1:25" ht="15.75" customHeight="1">
      <c r="A26" s="4" t="str">
        <f t="shared" si="0"/>
        <v>Jan</v>
      </c>
      <c r="B26" s="4">
        <v>25</v>
      </c>
      <c r="C26" s="3">
        <v>21575</v>
      </c>
      <c r="D26" s="4">
        <v>37</v>
      </c>
      <c r="E26" s="13">
        <f t="shared" si="1"/>
        <v>38.965462473749028</v>
      </c>
      <c r="F26" s="13">
        <f t="shared" si="2"/>
        <v>36.318508510167121</v>
      </c>
      <c r="G26" s="13">
        <f t="shared" si="4"/>
        <v>0.68149148983287944</v>
      </c>
      <c r="H26" s="13">
        <f t="shared" si="5"/>
        <v>0.68149148983287944</v>
      </c>
      <c r="I26" s="13">
        <f t="shared" si="6"/>
        <v>0.46443065071463763</v>
      </c>
      <c r="J26" s="5">
        <f t="shared" si="7"/>
        <v>1.8418688914402147E-2</v>
      </c>
      <c r="K26" s="8">
        <f t="shared" si="3"/>
        <v>0.93206922757903476</v>
      </c>
    </row>
    <row r="27" spans="1:25" ht="15.75" customHeight="1">
      <c r="A27" s="4" t="str">
        <f t="shared" si="0"/>
        <v>Jan</v>
      </c>
      <c r="B27" s="4">
        <v>26</v>
      </c>
      <c r="C27" s="3">
        <v>21576</v>
      </c>
      <c r="D27" s="4">
        <v>43</v>
      </c>
      <c r="E27" s="13">
        <f t="shared" si="1"/>
        <v>38.984547027192441</v>
      </c>
      <c r="F27" s="13">
        <f t="shared" si="2"/>
        <v>36.336296635153815</v>
      </c>
      <c r="G27" s="13">
        <f t="shared" si="4"/>
        <v>6.6637033648461852</v>
      </c>
      <c r="H27" s="13">
        <f t="shared" si="5"/>
        <v>6.6637033648461852</v>
      </c>
      <c r="I27" s="13">
        <f t="shared" si="6"/>
        <v>44.404942534662368</v>
      </c>
      <c r="J27" s="5">
        <f t="shared" si="7"/>
        <v>0.15496984569409733</v>
      </c>
      <c r="K27" s="8">
        <f t="shared" si="3"/>
        <v>0.93206922757903476</v>
      </c>
    </row>
    <row r="28" spans="1:25" ht="15.75" customHeight="1">
      <c r="A28" s="4" t="str">
        <f t="shared" si="0"/>
        <v>Jan</v>
      </c>
      <c r="B28" s="4">
        <v>27</v>
      </c>
      <c r="C28" s="3">
        <v>21577</v>
      </c>
      <c r="D28" s="4">
        <v>39</v>
      </c>
      <c r="E28" s="13">
        <f t="shared" si="1"/>
        <v>39.003631580635854</v>
      </c>
      <c r="F28" s="13">
        <f t="shared" si="2"/>
        <v>36.354084760140509</v>
      </c>
      <c r="G28" s="13">
        <f t="shared" si="4"/>
        <v>2.645915239859491</v>
      </c>
      <c r="H28" s="13">
        <f t="shared" si="5"/>
        <v>2.645915239859491</v>
      </c>
      <c r="I28" s="13">
        <f t="shared" si="6"/>
        <v>7.0008674565207079</v>
      </c>
      <c r="J28" s="5">
        <f t="shared" si="7"/>
        <v>6.7843980509217722E-2</v>
      </c>
      <c r="K28" s="8">
        <f t="shared" si="3"/>
        <v>0.93206922757903476</v>
      </c>
    </row>
    <row r="29" spans="1:25" ht="15.75" customHeight="1">
      <c r="A29" s="4" t="str">
        <f t="shared" si="0"/>
        <v>Jan</v>
      </c>
      <c r="B29" s="4">
        <v>28</v>
      </c>
      <c r="C29" s="3">
        <v>21578</v>
      </c>
      <c r="D29" s="4">
        <v>35</v>
      </c>
      <c r="E29" s="13">
        <f t="shared" si="1"/>
        <v>39.022716134079268</v>
      </c>
      <c r="F29" s="13">
        <f t="shared" si="2"/>
        <v>36.371872885127203</v>
      </c>
      <c r="G29" s="13">
        <f t="shared" si="4"/>
        <v>-1.3718728851272033</v>
      </c>
      <c r="H29" s="13">
        <f t="shared" si="5"/>
        <v>1.3718728851272033</v>
      </c>
      <c r="I29" s="13">
        <f t="shared" si="6"/>
        <v>1.8820352129472366</v>
      </c>
      <c r="J29" s="5">
        <f t="shared" si="7"/>
        <v>3.9196368146491523E-2</v>
      </c>
      <c r="K29" s="8">
        <f t="shared" si="3"/>
        <v>0.93206922757903476</v>
      </c>
    </row>
    <row r="30" spans="1:25" ht="15.75" customHeight="1">
      <c r="A30" s="4" t="str">
        <f t="shared" si="0"/>
        <v>Jan</v>
      </c>
      <c r="B30" s="4">
        <v>29</v>
      </c>
      <c r="C30" s="3">
        <v>21579</v>
      </c>
      <c r="D30" s="4">
        <v>44</v>
      </c>
      <c r="E30" s="13">
        <f t="shared" si="1"/>
        <v>39.041800687522681</v>
      </c>
      <c r="F30" s="13">
        <f t="shared" si="2"/>
        <v>36.38966101011389</v>
      </c>
      <c r="G30" s="13">
        <f t="shared" si="4"/>
        <v>7.6103389898861096</v>
      </c>
      <c r="H30" s="13">
        <f t="shared" si="5"/>
        <v>7.6103389898861096</v>
      </c>
      <c r="I30" s="13">
        <f t="shared" si="6"/>
        <v>57.91725954098073</v>
      </c>
      <c r="J30" s="5">
        <f t="shared" si="7"/>
        <v>0.17296224977013885</v>
      </c>
      <c r="K30" s="8">
        <f t="shared" si="3"/>
        <v>0.93206922757903476</v>
      </c>
    </row>
    <row r="31" spans="1:25" ht="15.75" customHeight="1">
      <c r="A31" s="4" t="str">
        <f t="shared" si="0"/>
        <v>Jan</v>
      </c>
      <c r="B31" s="4">
        <v>30</v>
      </c>
      <c r="C31" s="3">
        <v>21580</v>
      </c>
      <c r="D31" s="4">
        <v>38</v>
      </c>
      <c r="E31" s="13">
        <f t="shared" si="1"/>
        <v>39.060885240966094</v>
      </c>
      <c r="F31" s="13">
        <f t="shared" si="2"/>
        <v>36.407449135100585</v>
      </c>
      <c r="G31" s="13">
        <f t="shared" si="4"/>
        <v>1.5925508648994153</v>
      </c>
      <c r="H31" s="13">
        <f t="shared" si="5"/>
        <v>1.5925508648994153</v>
      </c>
      <c r="I31" s="13">
        <f t="shared" si="6"/>
        <v>2.5362182572918757</v>
      </c>
      <c r="J31" s="5">
        <f t="shared" si="7"/>
        <v>4.1909233286826719E-2</v>
      </c>
      <c r="K31" s="8">
        <f t="shared" si="3"/>
        <v>0.93206922757903476</v>
      </c>
    </row>
    <row r="32" spans="1:25" ht="15.75" customHeight="1">
      <c r="A32" s="4" t="str">
        <f t="shared" si="0"/>
        <v>Jan</v>
      </c>
      <c r="B32" s="4">
        <v>31</v>
      </c>
      <c r="C32" s="3">
        <v>21581</v>
      </c>
      <c r="D32" s="4">
        <v>24</v>
      </c>
      <c r="E32" s="13">
        <f t="shared" si="1"/>
        <v>39.079969794409507</v>
      </c>
      <c r="F32" s="13">
        <f t="shared" si="2"/>
        <v>36.425237260087279</v>
      </c>
      <c r="G32" s="13">
        <f t="shared" si="4"/>
        <v>-12.425237260087279</v>
      </c>
      <c r="H32" s="13">
        <f t="shared" si="5"/>
        <v>12.425237260087279</v>
      </c>
      <c r="I32" s="13">
        <f t="shared" si="6"/>
        <v>154.38652096946123</v>
      </c>
      <c r="J32" s="5">
        <f t="shared" si="7"/>
        <v>0.51771821917030325</v>
      </c>
      <c r="K32" s="8">
        <f t="shared" si="3"/>
        <v>0.93206922757903476</v>
      </c>
    </row>
    <row r="33" spans="1:11" ht="15.75" customHeight="1">
      <c r="A33" s="4" t="str">
        <f t="shared" si="0"/>
        <v>Feb</v>
      </c>
      <c r="B33" s="4">
        <v>32</v>
      </c>
      <c r="C33" s="3">
        <v>21582</v>
      </c>
      <c r="D33" s="4">
        <v>23</v>
      </c>
      <c r="E33" s="13">
        <f t="shared" si="1"/>
        <v>39.099054347852913</v>
      </c>
      <c r="F33" s="13">
        <f t="shared" si="2"/>
        <v>38.185560811565544</v>
      </c>
      <c r="G33" s="13">
        <f t="shared" si="4"/>
        <v>-15.185560811565544</v>
      </c>
      <c r="H33" s="13">
        <f t="shared" si="5"/>
        <v>15.185560811565544</v>
      </c>
      <c r="I33" s="13">
        <f t="shared" si="6"/>
        <v>230.6012571617552</v>
      </c>
      <c r="J33" s="5">
        <f t="shared" si="7"/>
        <v>0.66024177441589327</v>
      </c>
      <c r="K33" s="8">
        <f t="shared" si="3"/>
        <v>0.97663642889773539</v>
      </c>
    </row>
    <row r="34" spans="1:11" ht="15.75" customHeight="1">
      <c r="A34" s="4" t="str">
        <f t="shared" si="0"/>
        <v>Feb</v>
      </c>
      <c r="B34" s="4">
        <v>33</v>
      </c>
      <c r="C34" s="3">
        <v>21583</v>
      </c>
      <c r="D34" s="4">
        <v>31</v>
      </c>
      <c r="E34" s="13">
        <f t="shared" si="1"/>
        <v>39.118138901296327</v>
      </c>
      <c r="F34" s="13">
        <f t="shared" si="2"/>
        <v>38.204199481687624</v>
      </c>
      <c r="G34" s="13">
        <f t="shared" si="4"/>
        <v>-7.204199481687624</v>
      </c>
      <c r="H34" s="13">
        <f t="shared" si="5"/>
        <v>7.204199481687624</v>
      </c>
      <c r="I34" s="13">
        <f t="shared" si="6"/>
        <v>51.900490171948228</v>
      </c>
      <c r="J34" s="5">
        <f t="shared" si="7"/>
        <v>0.23239353166734272</v>
      </c>
      <c r="K34" s="8">
        <f t="shared" si="3"/>
        <v>0.97663642889773539</v>
      </c>
    </row>
    <row r="35" spans="1:11" ht="15.75" customHeight="1">
      <c r="A35" s="4" t="str">
        <f t="shared" si="0"/>
        <v>Feb</v>
      </c>
      <c r="B35" s="4">
        <v>34</v>
      </c>
      <c r="C35" s="3">
        <v>21584</v>
      </c>
      <c r="D35" s="4">
        <v>44</v>
      </c>
      <c r="E35" s="13">
        <f t="shared" si="1"/>
        <v>39.13722345473974</v>
      </c>
      <c r="F35" s="13">
        <f t="shared" si="2"/>
        <v>38.222838151809711</v>
      </c>
      <c r="G35" s="13">
        <f t="shared" si="4"/>
        <v>5.7771618481902891</v>
      </c>
      <c r="H35" s="13">
        <f t="shared" si="5"/>
        <v>5.7771618481902891</v>
      </c>
      <c r="I35" s="13">
        <f t="shared" si="6"/>
        <v>33.37559902018544</v>
      </c>
      <c r="J35" s="5">
        <f t="shared" si="7"/>
        <v>0.13129913291341566</v>
      </c>
      <c r="K35" s="8">
        <f t="shared" si="3"/>
        <v>0.97663642889773539</v>
      </c>
    </row>
    <row r="36" spans="1:11" ht="15.75" customHeight="1">
      <c r="A36" s="4" t="str">
        <f t="shared" si="0"/>
        <v>Feb</v>
      </c>
      <c r="B36" s="4">
        <v>35</v>
      </c>
      <c r="C36" s="3">
        <v>21585</v>
      </c>
      <c r="D36" s="4">
        <v>38</v>
      </c>
      <c r="E36" s="13">
        <f t="shared" si="1"/>
        <v>39.156308008183153</v>
      </c>
      <c r="F36" s="13">
        <f t="shared" si="2"/>
        <v>38.241476821931791</v>
      </c>
      <c r="G36" s="13">
        <f t="shared" si="4"/>
        <v>-0.24147682193179065</v>
      </c>
      <c r="H36" s="13">
        <f t="shared" si="5"/>
        <v>0.24147682193179065</v>
      </c>
      <c r="I36" s="13">
        <f t="shared" si="6"/>
        <v>5.8311055530277732E-2</v>
      </c>
      <c r="J36" s="5">
        <f t="shared" si="7"/>
        <v>6.3546532087313326E-3</v>
      </c>
      <c r="K36" s="8">
        <f t="shared" si="3"/>
        <v>0.97663642889773539</v>
      </c>
    </row>
    <row r="37" spans="1:11" ht="15.75" customHeight="1">
      <c r="A37" s="4" t="str">
        <f t="shared" si="0"/>
        <v>Feb</v>
      </c>
      <c r="B37" s="4">
        <v>36</v>
      </c>
      <c r="C37" s="3">
        <v>21586</v>
      </c>
      <c r="D37" s="4">
        <v>50</v>
      </c>
      <c r="E37" s="13">
        <f t="shared" si="1"/>
        <v>39.175392561626566</v>
      </c>
      <c r="F37" s="13">
        <f t="shared" si="2"/>
        <v>38.260115492053878</v>
      </c>
      <c r="G37" s="13">
        <f t="shared" si="4"/>
        <v>11.739884507946122</v>
      </c>
      <c r="H37" s="13">
        <f t="shared" si="5"/>
        <v>11.739884507946122</v>
      </c>
      <c r="I37" s="13">
        <f t="shared" si="6"/>
        <v>137.82488825991337</v>
      </c>
      <c r="J37" s="5">
        <f t="shared" si="7"/>
        <v>0.23479769015892246</v>
      </c>
      <c r="K37" s="8">
        <f t="shared" si="3"/>
        <v>0.97663642889773539</v>
      </c>
    </row>
    <row r="38" spans="1:11" ht="15.75" customHeight="1">
      <c r="A38" s="4" t="str">
        <f t="shared" si="0"/>
        <v>Feb</v>
      </c>
      <c r="B38" s="4">
        <v>37</v>
      </c>
      <c r="C38" s="3">
        <v>21587</v>
      </c>
      <c r="D38" s="4">
        <v>38</v>
      </c>
      <c r="E38" s="13">
        <f t="shared" si="1"/>
        <v>39.194477115069979</v>
      </c>
      <c r="F38" s="13">
        <f t="shared" si="2"/>
        <v>38.278754162175957</v>
      </c>
      <c r="G38" s="13">
        <f t="shared" si="4"/>
        <v>-0.27875416217595728</v>
      </c>
      <c r="H38" s="13">
        <f t="shared" si="5"/>
        <v>0.27875416217595728</v>
      </c>
      <c r="I38" s="13">
        <f t="shared" si="6"/>
        <v>7.7703882930419896E-2</v>
      </c>
      <c r="J38" s="5">
        <f t="shared" si="7"/>
        <v>7.3356358467357181E-3</v>
      </c>
      <c r="K38" s="8">
        <f t="shared" si="3"/>
        <v>0.97663642889773539</v>
      </c>
    </row>
    <row r="39" spans="1:11" ht="15.75" customHeight="1">
      <c r="A39" s="4" t="str">
        <f t="shared" si="0"/>
        <v>Feb</v>
      </c>
      <c r="B39" s="4">
        <v>38</v>
      </c>
      <c r="C39" s="3">
        <v>21588</v>
      </c>
      <c r="D39" s="4">
        <v>51</v>
      </c>
      <c r="E39" s="13">
        <f t="shared" si="1"/>
        <v>39.213561668513393</v>
      </c>
      <c r="F39" s="13">
        <f t="shared" si="2"/>
        <v>38.297392832298044</v>
      </c>
      <c r="G39" s="13">
        <f t="shared" si="4"/>
        <v>12.702607167701956</v>
      </c>
      <c r="H39" s="13">
        <f t="shared" si="5"/>
        <v>12.702607167701956</v>
      </c>
      <c r="I39" s="13">
        <f t="shared" si="6"/>
        <v>161.35622885695309</v>
      </c>
      <c r="J39" s="5">
        <f t="shared" si="7"/>
        <v>0.24907072877846972</v>
      </c>
      <c r="K39" s="8">
        <f t="shared" si="3"/>
        <v>0.97663642889773539</v>
      </c>
    </row>
    <row r="40" spans="1:11" ht="15.75" customHeight="1">
      <c r="A40" s="4" t="str">
        <f t="shared" si="0"/>
        <v>Feb</v>
      </c>
      <c r="B40" s="4">
        <v>39</v>
      </c>
      <c r="C40" s="3">
        <v>21589</v>
      </c>
      <c r="D40" s="4">
        <v>31</v>
      </c>
      <c r="E40" s="13">
        <f t="shared" si="1"/>
        <v>39.232646221956806</v>
      </c>
      <c r="F40" s="13">
        <f t="shared" si="2"/>
        <v>38.316031502420124</v>
      </c>
      <c r="G40" s="13">
        <f t="shared" si="4"/>
        <v>-7.3160315024201239</v>
      </c>
      <c r="H40" s="13">
        <f t="shared" si="5"/>
        <v>7.3160315024201239</v>
      </c>
      <c r="I40" s="13">
        <f t="shared" si="6"/>
        <v>53.524316944403658</v>
      </c>
      <c r="J40" s="5">
        <f t="shared" si="7"/>
        <v>0.23600101620710076</v>
      </c>
      <c r="K40" s="8">
        <f t="shared" si="3"/>
        <v>0.97663642889773539</v>
      </c>
    </row>
    <row r="41" spans="1:11" ht="15.75" customHeight="1">
      <c r="A41" s="4" t="str">
        <f t="shared" si="0"/>
        <v>Feb</v>
      </c>
      <c r="B41" s="4">
        <v>40</v>
      </c>
      <c r="C41" s="3">
        <v>21590</v>
      </c>
      <c r="D41" s="4">
        <v>31</v>
      </c>
      <c r="E41" s="13">
        <f t="shared" si="1"/>
        <v>39.251730775400219</v>
      </c>
      <c r="F41" s="13">
        <f t="shared" si="2"/>
        <v>38.334670172542211</v>
      </c>
      <c r="G41" s="13">
        <f t="shared" si="4"/>
        <v>-7.3346701725422108</v>
      </c>
      <c r="H41" s="13">
        <f t="shared" si="5"/>
        <v>7.3346701725422108</v>
      </c>
      <c r="I41" s="13">
        <f t="shared" si="6"/>
        <v>53.797386539980387</v>
      </c>
      <c r="J41" s="5">
        <f t="shared" si="7"/>
        <v>0.23660226363039388</v>
      </c>
      <c r="K41" s="8">
        <f t="shared" si="3"/>
        <v>0.97663642889773539</v>
      </c>
    </row>
    <row r="42" spans="1:11" ht="15.75" customHeight="1">
      <c r="A42" s="4" t="str">
        <f t="shared" si="0"/>
        <v>Feb</v>
      </c>
      <c r="B42" s="4">
        <v>41</v>
      </c>
      <c r="C42" s="3">
        <v>21591</v>
      </c>
      <c r="D42" s="4">
        <v>51</v>
      </c>
      <c r="E42" s="13">
        <f t="shared" si="1"/>
        <v>39.270815328843632</v>
      </c>
      <c r="F42" s="13">
        <f t="shared" si="2"/>
        <v>38.353308842664291</v>
      </c>
      <c r="G42" s="13">
        <f t="shared" si="4"/>
        <v>12.646691157335709</v>
      </c>
      <c r="H42" s="13">
        <f t="shared" si="5"/>
        <v>12.646691157335709</v>
      </c>
      <c r="I42" s="13">
        <f t="shared" si="6"/>
        <v>159.93879722903321</v>
      </c>
      <c r="J42" s="5">
        <f t="shared" si="7"/>
        <v>0.24797433641834724</v>
      </c>
      <c r="K42" s="8">
        <f t="shared" si="3"/>
        <v>0.97663642889773539</v>
      </c>
    </row>
    <row r="43" spans="1:11" ht="15.75" customHeight="1">
      <c r="A43" s="4" t="str">
        <f t="shared" si="0"/>
        <v>Feb</v>
      </c>
      <c r="B43" s="4">
        <v>42</v>
      </c>
      <c r="C43" s="3">
        <v>21592</v>
      </c>
      <c r="D43" s="4">
        <v>36</v>
      </c>
      <c r="E43" s="13">
        <f t="shared" si="1"/>
        <v>39.289899882287045</v>
      </c>
      <c r="F43" s="13">
        <f t="shared" si="2"/>
        <v>38.371947512786377</v>
      </c>
      <c r="G43" s="13">
        <f t="shared" si="4"/>
        <v>-2.3719475127863774</v>
      </c>
      <c r="H43" s="13">
        <f t="shared" si="5"/>
        <v>2.3719475127863774</v>
      </c>
      <c r="I43" s="13">
        <f t="shared" si="6"/>
        <v>5.6261350034134816</v>
      </c>
      <c r="J43" s="5">
        <f t="shared" si="7"/>
        <v>6.5887430910732708E-2</v>
      </c>
      <c r="K43" s="8">
        <f t="shared" si="3"/>
        <v>0.97663642889773539</v>
      </c>
    </row>
    <row r="44" spans="1:11" ht="15.75" customHeight="1">
      <c r="A44" s="4" t="str">
        <f t="shared" si="0"/>
        <v>Feb</v>
      </c>
      <c r="B44" s="4">
        <v>43</v>
      </c>
      <c r="C44" s="3">
        <v>21593</v>
      </c>
      <c r="D44" s="4">
        <v>45</v>
      </c>
      <c r="E44" s="13">
        <f t="shared" si="1"/>
        <v>39.308984435730459</v>
      </c>
      <c r="F44" s="13">
        <f t="shared" si="2"/>
        <v>38.390586182908457</v>
      </c>
      <c r="G44" s="13">
        <f t="shared" si="4"/>
        <v>6.6094138170915429</v>
      </c>
      <c r="H44" s="13">
        <f t="shared" si="5"/>
        <v>6.6094138170915429</v>
      </c>
      <c r="I44" s="13">
        <f t="shared" si="6"/>
        <v>43.6843510055606</v>
      </c>
      <c r="J44" s="5">
        <f t="shared" si="7"/>
        <v>0.14687586260203428</v>
      </c>
      <c r="K44" s="8">
        <f t="shared" si="3"/>
        <v>0.97663642889773539</v>
      </c>
    </row>
    <row r="45" spans="1:11" ht="15.75" customHeight="1">
      <c r="A45" s="4" t="str">
        <f t="shared" si="0"/>
        <v>Feb</v>
      </c>
      <c r="B45" s="4">
        <v>44</v>
      </c>
      <c r="C45" s="3">
        <v>21594</v>
      </c>
      <c r="D45" s="4">
        <v>51</v>
      </c>
      <c r="E45" s="13">
        <f t="shared" si="1"/>
        <v>39.328068989173865</v>
      </c>
      <c r="F45" s="13">
        <f t="shared" si="2"/>
        <v>38.40922485303053</v>
      </c>
      <c r="G45" s="13">
        <f t="shared" si="4"/>
        <v>12.59077514696947</v>
      </c>
      <c r="H45" s="13">
        <f t="shared" si="5"/>
        <v>12.59077514696947</v>
      </c>
      <c r="I45" s="13">
        <f t="shared" si="6"/>
        <v>158.52761880154409</v>
      </c>
      <c r="J45" s="5">
        <f t="shared" si="7"/>
        <v>0.24687794405822491</v>
      </c>
      <c r="K45" s="8">
        <f t="shared" si="3"/>
        <v>0.97663642889773539</v>
      </c>
    </row>
    <row r="46" spans="1:11" ht="15.75" customHeight="1">
      <c r="A46" s="4" t="str">
        <f t="shared" si="0"/>
        <v>Feb</v>
      </c>
      <c r="B46" s="4">
        <v>45</v>
      </c>
      <c r="C46" s="3">
        <v>21595</v>
      </c>
      <c r="D46" s="4">
        <v>34</v>
      </c>
      <c r="E46" s="13">
        <f t="shared" si="1"/>
        <v>39.347153542617278</v>
      </c>
      <c r="F46" s="13">
        <f t="shared" si="2"/>
        <v>38.427863523152617</v>
      </c>
      <c r="G46" s="13">
        <f t="shared" si="4"/>
        <v>-4.4278635231526167</v>
      </c>
      <c r="H46" s="13">
        <f t="shared" si="5"/>
        <v>4.4278635231526167</v>
      </c>
      <c r="I46" s="13">
        <f t="shared" si="6"/>
        <v>19.605975379665502</v>
      </c>
      <c r="J46" s="5">
        <f t="shared" si="7"/>
        <v>0.13023128009272403</v>
      </c>
      <c r="K46" s="8">
        <f t="shared" si="3"/>
        <v>0.97663642889773539</v>
      </c>
    </row>
    <row r="47" spans="1:11" ht="15.75" customHeight="1">
      <c r="A47" s="4" t="str">
        <f t="shared" si="0"/>
        <v>Feb</v>
      </c>
      <c r="B47" s="4">
        <v>46</v>
      </c>
      <c r="C47" s="3">
        <v>21596</v>
      </c>
      <c r="D47" s="4">
        <v>52</v>
      </c>
      <c r="E47" s="13">
        <f t="shared" si="1"/>
        <v>39.366238096060691</v>
      </c>
      <c r="F47" s="13">
        <f t="shared" si="2"/>
        <v>38.446502193274696</v>
      </c>
      <c r="G47" s="13">
        <f t="shared" si="4"/>
        <v>13.553497806725304</v>
      </c>
      <c r="H47" s="13">
        <f t="shared" si="5"/>
        <v>13.553497806725304</v>
      </c>
      <c r="I47" s="13">
        <f t="shared" si="6"/>
        <v>183.69730279690762</v>
      </c>
      <c r="J47" s="5">
        <f t="shared" si="7"/>
        <v>0.26064418859087124</v>
      </c>
      <c r="K47" s="8">
        <f t="shared" si="3"/>
        <v>0.97663642889773539</v>
      </c>
    </row>
    <row r="48" spans="1:11" ht="15.75" customHeight="1">
      <c r="A48" s="4" t="str">
        <f t="shared" si="0"/>
        <v>Feb</v>
      </c>
      <c r="B48" s="4">
        <v>47</v>
      </c>
      <c r="C48" s="3">
        <v>21597</v>
      </c>
      <c r="D48" s="4">
        <v>47</v>
      </c>
      <c r="E48" s="13">
        <f t="shared" si="1"/>
        <v>39.385322649504104</v>
      </c>
      <c r="F48" s="13">
        <f t="shared" si="2"/>
        <v>38.465140863396783</v>
      </c>
      <c r="G48" s="13">
        <f t="shared" si="4"/>
        <v>8.5348591366032167</v>
      </c>
      <c r="H48" s="13">
        <f t="shared" si="5"/>
        <v>8.5348591366032167</v>
      </c>
      <c r="I48" s="13">
        <f t="shared" si="6"/>
        <v>72.843820481659407</v>
      </c>
      <c r="J48" s="5">
        <f t="shared" si="7"/>
        <v>0.18159274758730248</v>
      </c>
      <c r="K48" s="8">
        <f t="shared" si="3"/>
        <v>0.97663642889773539</v>
      </c>
    </row>
    <row r="49" spans="1:11" ht="15.75" customHeight="1">
      <c r="A49" s="4" t="str">
        <f t="shared" si="0"/>
        <v>Feb</v>
      </c>
      <c r="B49" s="4">
        <v>48</v>
      </c>
      <c r="C49" s="3">
        <v>21598</v>
      </c>
      <c r="D49" s="4">
        <v>45</v>
      </c>
      <c r="E49" s="13">
        <f t="shared" si="1"/>
        <v>39.404407202947517</v>
      </c>
      <c r="F49" s="13">
        <f t="shared" si="2"/>
        <v>38.483779533518863</v>
      </c>
      <c r="G49" s="13">
        <f t="shared" si="4"/>
        <v>6.516220466481137</v>
      </c>
      <c r="H49" s="13">
        <f t="shared" si="5"/>
        <v>6.516220466481137</v>
      </c>
      <c r="I49" s="13">
        <f t="shared" si="6"/>
        <v>42.461129167787647</v>
      </c>
      <c r="J49" s="5">
        <f t="shared" si="7"/>
        <v>0.14480489925513637</v>
      </c>
      <c r="K49" s="8">
        <f t="shared" si="3"/>
        <v>0.97663642889773539</v>
      </c>
    </row>
    <row r="50" spans="1:11" ht="15.75" customHeight="1">
      <c r="A50" s="4" t="str">
        <f t="shared" si="0"/>
        <v>Feb</v>
      </c>
      <c r="B50" s="4">
        <v>49</v>
      </c>
      <c r="C50" s="3">
        <v>21599</v>
      </c>
      <c r="D50" s="4">
        <v>46</v>
      </c>
      <c r="E50" s="13">
        <f t="shared" si="1"/>
        <v>39.423491756390931</v>
      </c>
      <c r="F50" s="13">
        <f t="shared" si="2"/>
        <v>38.50241820364095</v>
      </c>
      <c r="G50" s="13">
        <f t="shared" si="4"/>
        <v>7.4975817963590501</v>
      </c>
      <c r="H50" s="13">
        <f t="shared" si="5"/>
        <v>7.4975817963590501</v>
      </c>
      <c r="I50" s="13">
        <f t="shared" si="6"/>
        <v>56.2137327930946</v>
      </c>
      <c r="J50" s="5">
        <f t="shared" si="7"/>
        <v>0.16299090861650109</v>
      </c>
      <c r="K50" s="8">
        <f t="shared" si="3"/>
        <v>0.97663642889773539</v>
      </c>
    </row>
    <row r="51" spans="1:11" ht="15.75" customHeight="1">
      <c r="A51" s="4" t="str">
        <f t="shared" si="0"/>
        <v>Feb</v>
      </c>
      <c r="B51" s="4">
        <v>50</v>
      </c>
      <c r="C51" s="3">
        <v>21600</v>
      </c>
      <c r="D51" s="4">
        <v>39</v>
      </c>
      <c r="E51" s="13">
        <f t="shared" si="1"/>
        <v>39.442576309834344</v>
      </c>
      <c r="F51" s="13">
        <f t="shared" si="2"/>
        <v>38.52105687376303</v>
      </c>
      <c r="G51" s="13">
        <f t="shared" si="4"/>
        <v>0.47894312623697033</v>
      </c>
      <c r="H51" s="13">
        <f t="shared" si="5"/>
        <v>0.47894312623697033</v>
      </c>
      <c r="I51" s="13">
        <f t="shared" si="6"/>
        <v>0.22938651816964251</v>
      </c>
      <c r="J51" s="5">
        <f t="shared" si="7"/>
        <v>1.2280592980435137E-2</v>
      </c>
      <c r="K51" s="8">
        <f t="shared" si="3"/>
        <v>0.97663642889773539</v>
      </c>
    </row>
    <row r="52" spans="1:11" ht="15.75" customHeight="1">
      <c r="A52" s="4" t="str">
        <f t="shared" si="0"/>
        <v>Feb</v>
      </c>
      <c r="B52" s="4">
        <v>51</v>
      </c>
      <c r="C52" s="3">
        <v>21601</v>
      </c>
      <c r="D52" s="4">
        <v>48</v>
      </c>
      <c r="E52" s="13">
        <f t="shared" si="1"/>
        <v>39.461660863277757</v>
      </c>
      <c r="F52" s="13">
        <f t="shared" si="2"/>
        <v>38.539695543885117</v>
      </c>
      <c r="G52" s="13">
        <f t="shared" si="4"/>
        <v>9.4603044561148835</v>
      </c>
      <c r="H52" s="13">
        <f t="shared" si="5"/>
        <v>9.4603044561148835</v>
      </c>
      <c r="I52" s="13">
        <f t="shared" si="6"/>
        <v>89.497360402387116</v>
      </c>
      <c r="J52" s="5">
        <f t="shared" si="7"/>
        <v>0.19708967616906006</v>
      </c>
      <c r="K52" s="8">
        <f t="shared" si="3"/>
        <v>0.97663642889773539</v>
      </c>
    </row>
    <row r="53" spans="1:11" ht="15.75" customHeight="1">
      <c r="A53" s="4" t="str">
        <f t="shared" si="0"/>
        <v>Feb</v>
      </c>
      <c r="B53" s="4">
        <v>52</v>
      </c>
      <c r="C53" s="3">
        <v>21602</v>
      </c>
      <c r="D53" s="4">
        <v>37</v>
      </c>
      <c r="E53" s="13">
        <f t="shared" si="1"/>
        <v>39.48074541672117</v>
      </c>
      <c r="F53" s="13">
        <f t="shared" si="2"/>
        <v>38.558334214007196</v>
      </c>
      <c r="G53" s="13">
        <f t="shared" si="4"/>
        <v>-1.5583342140071963</v>
      </c>
      <c r="H53" s="13">
        <f t="shared" si="5"/>
        <v>1.5583342140071963</v>
      </c>
      <c r="I53" s="13">
        <f t="shared" si="6"/>
        <v>2.4284055225454262</v>
      </c>
      <c r="J53" s="5">
        <f t="shared" si="7"/>
        <v>4.2117140919113415E-2</v>
      </c>
      <c r="K53" s="8">
        <f t="shared" si="3"/>
        <v>0.97663642889773539</v>
      </c>
    </row>
    <row r="54" spans="1:11" ht="15.75" customHeight="1">
      <c r="A54" s="4" t="str">
        <f t="shared" si="0"/>
        <v>Feb</v>
      </c>
      <c r="B54" s="4">
        <v>53</v>
      </c>
      <c r="C54" s="3">
        <v>21603</v>
      </c>
      <c r="D54" s="4">
        <v>35</v>
      </c>
      <c r="E54" s="13">
        <f t="shared" si="1"/>
        <v>39.499829970164583</v>
      </c>
      <c r="F54" s="13">
        <f t="shared" si="2"/>
        <v>38.576972884129283</v>
      </c>
      <c r="G54" s="13">
        <f t="shared" si="4"/>
        <v>-3.5769728841292832</v>
      </c>
      <c r="H54" s="13">
        <f t="shared" si="5"/>
        <v>3.5769728841292832</v>
      </c>
      <c r="I54" s="13">
        <f t="shared" si="6"/>
        <v>12.794735013796162</v>
      </c>
      <c r="J54" s="5">
        <f t="shared" si="7"/>
        <v>0.10219922526083666</v>
      </c>
      <c r="K54" s="8">
        <f t="shared" si="3"/>
        <v>0.97663642889773539</v>
      </c>
    </row>
    <row r="55" spans="1:11" ht="15.75" customHeight="1">
      <c r="A55" s="4" t="str">
        <f t="shared" si="0"/>
        <v>Feb</v>
      </c>
      <c r="B55" s="4">
        <v>54</v>
      </c>
      <c r="C55" s="3">
        <v>21604</v>
      </c>
      <c r="D55" s="4">
        <v>52</v>
      </c>
      <c r="E55" s="13">
        <f t="shared" si="1"/>
        <v>39.518914523607997</v>
      </c>
      <c r="F55" s="13">
        <f t="shared" si="2"/>
        <v>38.595611554251363</v>
      </c>
      <c r="G55" s="13">
        <f t="shared" si="4"/>
        <v>13.404388445748637</v>
      </c>
      <c r="H55" s="13">
        <f t="shared" si="5"/>
        <v>13.404388445748637</v>
      </c>
      <c r="I55" s="13">
        <f t="shared" si="6"/>
        <v>179.67762960451955</v>
      </c>
      <c r="J55" s="5">
        <f t="shared" si="7"/>
        <v>0.2577767008797815</v>
      </c>
      <c r="K55" s="8">
        <f t="shared" si="3"/>
        <v>0.97663642889773539</v>
      </c>
    </row>
    <row r="56" spans="1:11" ht="15.75" customHeight="1">
      <c r="A56" s="4" t="str">
        <f t="shared" si="0"/>
        <v>Feb</v>
      </c>
      <c r="B56" s="4">
        <v>55</v>
      </c>
      <c r="C56" s="3">
        <v>21605</v>
      </c>
      <c r="D56" s="4">
        <v>42</v>
      </c>
      <c r="E56" s="13">
        <f t="shared" si="1"/>
        <v>39.53799907705141</v>
      </c>
      <c r="F56" s="13">
        <f t="shared" si="2"/>
        <v>38.61425022437345</v>
      </c>
      <c r="G56" s="13">
        <f t="shared" si="4"/>
        <v>3.3857497756265502</v>
      </c>
      <c r="H56" s="13">
        <f t="shared" si="5"/>
        <v>3.3857497756265502</v>
      </c>
      <c r="I56" s="13">
        <f t="shared" si="6"/>
        <v>11.463301543155236</v>
      </c>
      <c r="J56" s="5">
        <f t="shared" si="7"/>
        <v>8.0613089895870238E-2</v>
      </c>
      <c r="K56" s="8">
        <f t="shared" si="3"/>
        <v>0.97663642889773539</v>
      </c>
    </row>
    <row r="57" spans="1:11" ht="15.75" customHeight="1">
      <c r="A57" s="4" t="str">
        <f t="shared" si="0"/>
        <v>Feb</v>
      </c>
      <c r="B57" s="4">
        <v>56</v>
      </c>
      <c r="C57" s="3">
        <v>21606</v>
      </c>
      <c r="D57" s="4">
        <v>45</v>
      </c>
      <c r="E57" s="13">
        <f t="shared" si="1"/>
        <v>39.557083630494816</v>
      </c>
      <c r="F57" s="13">
        <f t="shared" si="2"/>
        <v>38.632888894495522</v>
      </c>
      <c r="G57" s="13">
        <f t="shared" si="4"/>
        <v>6.3671111055044776</v>
      </c>
      <c r="H57" s="13">
        <f t="shared" si="5"/>
        <v>6.3671111055044776</v>
      </c>
      <c r="I57" s="13">
        <f t="shared" si="6"/>
        <v>40.540103829838451</v>
      </c>
      <c r="J57" s="5">
        <f t="shared" si="7"/>
        <v>0.14149135790009951</v>
      </c>
      <c r="K57" s="8">
        <f t="shared" si="3"/>
        <v>0.97663642889773539</v>
      </c>
    </row>
    <row r="58" spans="1:11" ht="15.75" customHeight="1">
      <c r="A58" s="4" t="str">
        <f t="shared" si="0"/>
        <v>Feb</v>
      </c>
      <c r="B58" s="4">
        <v>57</v>
      </c>
      <c r="C58" s="3">
        <v>21607</v>
      </c>
      <c r="D58" s="4">
        <v>39</v>
      </c>
      <c r="E58" s="13">
        <f t="shared" si="1"/>
        <v>39.576168183938229</v>
      </c>
      <c r="F58" s="13">
        <f t="shared" si="2"/>
        <v>38.651527564617602</v>
      </c>
      <c r="G58" s="13">
        <f t="shared" si="4"/>
        <v>0.3484724353823978</v>
      </c>
      <c r="H58" s="13">
        <f t="shared" si="5"/>
        <v>0.3484724353823978</v>
      </c>
      <c r="I58" s="13">
        <f t="shared" si="6"/>
        <v>0.12143303822133941</v>
      </c>
      <c r="J58" s="5">
        <f t="shared" si="7"/>
        <v>8.9351906508307131E-3</v>
      </c>
      <c r="K58" s="8">
        <f t="shared" si="3"/>
        <v>0.97663642889773539</v>
      </c>
    </row>
    <row r="59" spans="1:11" ht="15.75" customHeight="1">
      <c r="A59" s="4" t="str">
        <f t="shared" si="0"/>
        <v>Feb</v>
      </c>
      <c r="B59" s="4">
        <v>58</v>
      </c>
      <c r="C59" s="3">
        <v>21608</v>
      </c>
      <c r="D59" s="4">
        <v>37</v>
      </c>
      <c r="E59" s="13">
        <f t="shared" si="1"/>
        <v>39.595252737381642</v>
      </c>
      <c r="F59" s="13">
        <f t="shared" si="2"/>
        <v>38.670166234739689</v>
      </c>
      <c r="G59" s="13">
        <f t="shared" si="4"/>
        <v>-1.6701662347396891</v>
      </c>
      <c r="H59" s="13">
        <f t="shared" si="5"/>
        <v>1.6701662347396891</v>
      </c>
      <c r="I59" s="13">
        <f t="shared" si="6"/>
        <v>2.7894552516645503</v>
      </c>
      <c r="J59" s="5">
        <f t="shared" si="7"/>
        <v>4.513962796593754E-2</v>
      </c>
      <c r="K59" s="8">
        <f t="shared" si="3"/>
        <v>0.97663642889773539</v>
      </c>
    </row>
    <row r="60" spans="1:11" ht="15.75" customHeight="1">
      <c r="A60" s="4" t="str">
        <f t="shared" si="0"/>
        <v>Feb</v>
      </c>
      <c r="B60" s="4">
        <v>59</v>
      </c>
      <c r="C60" s="3">
        <v>21609</v>
      </c>
      <c r="D60" s="4">
        <v>30</v>
      </c>
      <c r="E60" s="13">
        <f t="shared" si="1"/>
        <v>39.614337290825056</v>
      </c>
      <c r="F60" s="13">
        <f t="shared" si="2"/>
        <v>38.688804904861769</v>
      </c>
      <c r="G60" s="13">
        <f t="shared" si="4"/>
        <v>-8.6888049048617688</v>
      </c>
      <c r="H60" s="13">
        <f t="shared" si="5"/>
        <v>8.6888049048617688</v>
      </c>
      <c r="I60" s="13">
        <f t="shared" si="6"/>
        <v>75.495330674749937</v>
      </c>
      <c r="J60" s="5">
        <f t="shared" si="7"/>
        <v>0.28962683016205898</v>
      </c>
      <c r="K60" s="8">
        <f t="shared" si="3"/>
        <v>0.97663642889773539</v>
      </c>
    </row>
    <row r="61" spans="1:11" ht="15.75" customHeight="1">
      <c r="A61" s="4" t="str">
        <f t="shared" si="0"/>
        <v>Mar</v>
      </c>
      <c r="B61" s="4">
        <v>60</v>
      </c>
      <c r="C61" s="3">
        <v>21610</v>
      </c>
      <c r="D61" s="4">
        <v>35</v>
      </c>
      <c r="E61" s="13">
        <f t="shared" si="1"/>
        <v>39.633421844268469</v>
      </c>
      <c r="F61" s="13">
        <f t="shared" si="2"/>
        <v>37.093364495932597</v>
      </c>
      <c r="G61" s="13">
        <f t="shared" si="4"/>
        <v>-2.0933644959325974</v>
      </c>
      <c r="H61" s="13">
        <f t="shared" si="5"/>
        <v>2.0933644959325974</v>
      </c>
      <c r="I61" s="13">
        <f t="shared" si="6"/>
        <v>4.3821749128311378</v>
      </c>
      <c r="J61" s="5">
        <f t="shared" si="7"/>
        <v>5.9810414169502786E-2</v>
      </c>
      <c r="K61" s="8">
        <f t="shared" si="3"/>
        <v>0.93591122769271573</v>
      </c>
    </row>
    <row r="62" spans="1:11" ht="15.75" customHeight="1">
      <c r="A62" s="4" t="str">
        <f t="shared" si="0"/>
        <v>Mar</v>
      </c>
      <c r="B62" s="4">
        <v>61</v>
      </c>
      <c r="C62" s="3">
        <v>21611</v>
      </c>
      <c r="D62" s="4">
        <v>28</v>
      </c>
      <c r="E62" s="13">
        <f t="shared" si="1"/>
        <v>39.652506397711882</v>
      </c>
      <c r="F62" s="13">
        <f t="shared" si="2"/>
        <v>37.111225943775793</v>
      </c>
      <c r="G62" s="13">
        <f t="shared" si="4"/>
        <v>-9.1112259437757928</v>
      </c>
      <c r="H62" s="13">
        <f t="shared" si="5"/>
        <v>9.1112259437757928</v>
      </c>
      <c r="I62" s="13">
        <f t="shared" si="6"/>
        <v>83.014438198533085</v>
      </c>
      <c r="J62" s="5">
        <f t="shared" si="7"/>
        <v>0.32540092656342118</v>
      </c>
      <c r="K62" s="8">
        <f t="shared" si="3"/>
        <v>0.93591122769271573</v>
      </c>
    </row>
    <row r="63" spans="1:11" ht="15.75" customHeight="1">
      <c r="A63" s="4" t="str">
        <f t="shared" si="0"/>
        <v>Mar</v>
      </c>
      <c r="B63" s="4">
        <v>62</v>
      </c>
      <c r="C63" s="3">
        <v>21612</v>
      </c>
      <c r="D63" s="4">
        <v>45</v>
      </c>
      <c r="E63" s="13">
        <f t="shared" si="1"/>
        <v>39.671590951155295</v>
      </c>
      <c r="F63" s="13">
        <f t="shared" si="2"/>
        <v>37.129087391618981</v>
      </c>
      <c r="G63" s="13">
        <f t="shared" si="4"/>
        <v>7.870912608381019</v>
      </c>
      <c r="H63" s="13">
        <f t="shared" si="5"/>
        <v>7.870912608381019</v>
      </c>
      <c r="I63" s="13">
        <f t="shared" si="6"/>
        <v>61.951265288771296</v>
      </c>
      <c r="J63" s="5">
        <f t="shared" si="7"/>
        <v>0.17490916907513376</v>
      </c>
      <c r="K63" s="8">
        <f t="shared" si="3"/>
        <v>0.93591122769271573</v>
      </c>
    </row>
    <row r="64" spans="1:11" ht="15.75" customHeight="1">
      <c r="A64" s="4" t="str">
        <f t="shared" si="0"/>
        <v>Mar</v>
      </c>
      <c r="B64" s="4">
        <v>63</v>
      </c>
      <c r="C64" s="3">
        <v>21613</v>
      </c>
      <c r="D64" s="4">
        <v>34</v>
      </c>
      <c r="E64" s="13">
        <f t="shared" si="1"/>
        <v>39.690675504598708</v>
      </c>
      <c r="F64" s="13">
        <f t="shared" si="2"/>
        <v>37.146948839462176</v>
      </c>
      <c r="G64" s="13">
        <f t="shared" si="4"/>
        <v>-3.1469488394621763</v>
      </c>
      <c r="H64" s="13">
        <f t="shared" si="5"/>
        <v>3.1469488394621763</v>
      </c>
      <c r="I64" s="13">
        <f t="shared" si="6"/>
        <v>9.903286998192339</v>
      </c>
      <c r="J64" s="5">
        <f t="shared" si="7"/>
        <v>9.2557318807711064E-2</v>
      </c>
      <c r="K64" s="8">
        <f t="shared" si="3"/>
        <v>0.93591122769271573</v>
      </c>
    </row>
    <row r="65" spans="1:11" ht="15.75" customHeight="1">
      <c r="A65" s="4" t="str">
        <f t="shared" si="0"/>
        <v>Mar</v>
      </c>
      <c r="B65" s="4">
        <v>64</v>
      </c>
      <c r="C65" s="3">
        <v>21614</v>
      </c>
      <c r="D65" s="4">
        <v>36</v>
      </c>
      <c r="E65" s="13">
        <f t="shared" si="1"/>
        <v>39.709760058042121</v>
      </c>
      <c r="F65" s="13">
        <f t="shared" si="2"/>
        <v>37.164810287305372</v>
      </c>
      <c r="G65" s="13">
        <f t="shared" si="4"/>
        <v>-1.1648102873053716</v>
      </c>
      <c r="H65" s="13">
        <f t="shared" si="5"/>
        <v>1.1648102873053716</v>
      </c>
      <c r="I65" s="13">
        <f t="shared" si="6"/>
        <v>1.3567830054124224</v>
      </c>
      <c r="J65" s="5">
        <f t="shared" si="7"/>
        <v>3.2355841314038097E-2</v>
      </c>
      <c r="K65" s="8">
        <f t="shared" si="3"/>
        <v>0.93591122769271573</v>
      </c>
    </row>
    <row r="66" spans="1:11" ht="15.75" customHeight="1">
      <c r="A66" s="4" t="str">
        <f t="shared" ref="A66:A129" si="11">IF(MONTH(C66)=1, "Jan",  IF(MONTH(C66) = 2, "Feb", IF(MONTH(C66) = 3, "Mar", IF(MONTH(C66) = 4, "Apr", IF(MONTH(C66) = 5, "May", IF(MONTH(C66) = 6, "Jun", IF(MONTH(C66) = 7, "Jul", IF(MONTH(C66) = 8, "Aug", IF(MONTH(C66) = 9, "Sep", IF(MONTH(C66) = 10, "Oct", IF(MONTH(C66) = 11, "Nov", "Dec")))))))))))</f>
        <v>Mar</v>
      </c>
      <c r="B66" s="4">
        <v>65</v>
      </c>
      <c r="C66" s="3">
        <v>21615</v>
      </c>
      <c r="D66" s="4">
        <v>50</v>
      </c>
      <c r="E66" s="13">
        <f t="shared" ref="E66:E129" si="12">$O$2+($O$3*B66)</f>
        <v>39.728844611485535</v>
      </c>
      <c r="F66" s="13">
        <f t="shared" ref="F66:F129" si="13">E66*K66</f>
        <v>37.18267173514856</v>
      </c>
      <c r="G66" s="13">
        <f t="shared" si="4"/>
        <v>12.81732826485144</v>
      </c>
      <c r="H66" s="13">
        <f t="shared" si="5"/>
        <v>12.81732826485144</v>
      </c>
      <c r="I66" s="13">
        <f t="shared" si="6"/>
        <v>164.28390384895962</v>
      </c>
      <c r="J66" s="5">
        <f t="shared" si="7"/>
        <v>0.25634656529702882</v>
      </c>
      <c r="K66" s="8">
        <f t="shared" ref="K66:K129" si="14">VLOOKUP(A66,$V$7:$Y$19,4,FALSE)</f>
        <v>0.93591122769271573</v>
      </c>
    </row>
    <row r="67" spans="1:11" ht="15.75" customHeight="1">
      <c r="A67" s="4" t="str">
        <f t="shared" si="11"/>
        <v>Mar</v>
      </c>
      <c r="B67" s="4">
        <v>66</v>
      </c>
      <c r="C67" s="3">
        <v>21616</v>
      </c>
      <c r="D67" s="4">
        <v>44</v>
      </c>
      <c r="E67" s="13">
        <f t="shared" si="12"/>
        <v>39.747929164928948</v>
      </c>
      <c r="F67" s="13">
        <f t="shared" si="13"/>
        <v>37.200533182991755</v>
      </c>
      <c r="G67" s="13">
        <f t="shared" ref="G67:G130" si="15">D67-F67</f>
        <v>6.7994668170082448</v>
      </c>
      <c r="H67" s="13">
        <f t="shared" ref="H67:H130" si="16">ABS(G67)</f>
        <v>6.7994668170082448</v>
      </c>
      <c r="I67" s="13">
        <f t="shared" ref="I67:I130" si="17">H67^2</f>
        <v>46.232748995596232</v>
      </c>
      <c r="J67" s="5">
        <f t="shared" ref="J67:J130" si="18">H67/D67</f>
        <v>0.15453333675018738</v>
      </c>
      <c r="K67" s="8">
        <f t="shared" si="14"/>
        <v>0.93591122769271573</v>
      </c>
    </row>
    <row r="68" spans="1:11" ht="15.75" customHeight="1">
      <c r="A68" s="4" t="str">
        <f t="shared" si="11"/>
        <v>Mar</v>
      </c>
      <c r="B68" s="4">
        <v>67</v>
      </c>
      <c r="C68" s="3">
        <v>21617</v>
      </c>
      <c r="D68" s="4">
        <v>39</v>
      </c>
      <c r="E68" s="13">
        <f t="shared" si="12"/>
        <v>39.767013718372361</v>
      </c>
      <c r="F68" s="13">
        <f t="shared" si="13"/>
        <v>37.218394630834943</v>
      </c>
      <c r="G68" s="13">
        <f t="shared" si="15"/>
        <v>1.7816053691650566</v>
      </c>
      <c r="H68" s="13">
        <f t="shared" si="16"/>
        <v>1.7816053691650566</v>
      </c>
      <c r="I68" s="13">
        <f t="shared" si="17"/>
        <v>3.1741176914377576</v>
      </c>
      <c r="J68" s="5">
        <f t="shared" si="18"/>
        <v>4.5682188952950169E-2</v>
      </c>
      <c r="K68" s="8">
        <f t="shared" si="14"/>
        <v>0.93591122769271573</v>
      </c>
    </row>
    <row r="69" spans="1:11" ht="15.75" customHeight="1">
      <c r="A69" s="4" t="str">
        <f t="shared" si="11"/>
        <v>Mar</v>
      </c>
      <c r="B69" s="4">
        <v>68</v>
      </c>
      <c r="C69" s="3">
        <v>21618</v>
      </c>
      <c r="D69" s="4">
        <v>32</v>
      </c>
      <c r="E69" s="13">
        <f t="shared" si="12"/>
        <v>39.786098271815774</v>
      </c>
      <c r="F69" s="13">
        <f t="shared" si="13"/>
        <v>37.236256078678139</v>
      </c>
      <c r="G69" s="13">
        <f t="shared" si="15"/>
        <v>-5.2362560786781387</v>
      </c>
      <c r="H69" s="13">
        <f t="shared" si="16"/>
        <v>5.2362560786781387</v>
      </c>
      <c r="I69" s="13">
        <f t="shared" si="17"/>
        <v>27.418377721493759</v>
      </c>
      <c r="J69" s="5">
        <f t="shared" si="18"/>
        <v>0.16363300245869183</v>
      </c>
      <c r="K69" s="8">
        <f t="shared" si="14"/>
        <v>0.93591122769271573</v>
      </c>
    </row>
    <row r="70" spans="1:11" ht="15.75" customHeight="1">
      <c r="A70" s="4" t="str">
        <f t="shared" si="11"/>
        <v>Mar</v>
      </c>
      <c r="B70" s="4">
        <v>69</v>
      </c>
      <c r="C70" s="3">
        <v>21619</v>
      </c>
      <c r="D70" s="4">
        <v>39</v>
      </c>
      <c r="E70" s="13">
        <f t="shared" si="12"/>
        <v>39.80518282525918</v>
      </c>
      <c r="F70" s="13">
        <f t="shared" si="13"/>
        <v>37.25411752652132</v>
      </c>
      <c r="G70" s="13">
        <f t="shared" si="15"/>
        <v>1.7458824734786802</v>
      </c>
      <c r="H70" s="13">
        <f t="shared" si="16"/>
        <v>1.7458824734786802</v>
      </c>
      <c r="I70" s="13">
        <f t="shared" si="17"/>
        <v>3.0481056112000346</v>
      </c>
      <c r="J70" s="5">
        <f t="shared" si="18"/>
        <v>4.4766217268684107E-2</v>
      </c>
      <c r="K70" s="8">
        <f t="shared" si="14"/>
        <v>0.93591122769271573</v>
      </c>
    </row>
    <row r="71" spans="1:11" ht="15.75" customHeight="1">
      <c r="A71" s="4" t="str">
        <f t="shared" si="11"/>
        <v>Mar</v>
      </c>
      <c r="B71" s="4">
        <v>70</v>
      </c>
      <c r="C71" s="3">
        <v>21620</v>
      </c>
      <c r="D71" s="4">
        <v>45</v>
      </c>
      <c r="E71" s="13">
        <f t="shared" si="12"/>
        <v>39.824267378702594</v>
      </c>
      <c r="F71" s="13">
        <f t="shared" si="13"/>
        <v>37.271978974364515</v>
      </c>
      <c r="G71" s="13">
        <f t="shared" si="15"/>
        <v>7.7280210256354849</v>
      </c>
      <c r="H71" s="13">
        <f t="shared" si="16"/>
        <v>7.7280210256354849</v>
      </c>
      <c r="I71" s="13">
        <f t="shared" si="17"/>
        <v>59.722308972664131</v>
      </c>
      <c r="J71" s="5">
        <f t="shared" si="18"/>
        <v>0.17173380056967744</v>
      </c>
      <c r="K71" s="8">
        <f t="shared" si="14"/>
        <v>0.93591122769271573</v>
      </c>
    </row>
    <row r="72" spans="1:11" ht="15.75" customHeight="1">
      <c r="A72" s="4" t="str">
        <f t="shared" si="11"/>
        <v>Mar</v>
      </c>
      <c r="B72" s="4">
        <v>71</v>
      </c>
      <c r="C72" s="3">
        <v>21621</v>
      </c>
      <c r="D72" s="4">
        <v>43</v>
      </c>
      <c r="E72" s="13">
        <f t="shared" si="12"/>
        <v>39.843351932146007</v>
      </c>
      <c r="F72" s="13">
        <f t="shared" si="13"/>
        <v>37.289840422207703</v>
      </c>
      <c r="G72" s="13">
        <f t="shared" si="15"/>
        <v>5.7101595777922967</v>
      </c>
      <c r="H72" s="13">
        <f t="shared" si="16"/>
        <v>5.7101595777922967</v>
      </c>
      <c r="I72" s="13">
        <f t="shared" si="17"/>
        <v>32.6059224038531</v>
      </c>
      <c r="J72" s="5">
        <f t="shared" si="18"/>
        <v>0.13279440878586737</v>
      </c>
      <c r="K72" s="8">
        <f t="shared" si="14"/>
        <v>0.93591122769271573</v>
      </c>
    </row>
    <row r="73" spans="1:11" ht="15.75" customHeight="1">
      <c r="A73" s="4" t="str">
        <f t="shared" si="11"/>
        <v>Mar</v>
      </c>
      <c r="B73" s="4">
        <v>72</v>
      </c>
      <c r="C73" s="3">
        <v>21622</v>
      </c>
      <c r="D73" s="4">
        <v>39</v>
      </c>
      <c r="E73" s="13">
        <f t="shared" si="12"/>
        <v>39.86243648558942</v>
      </c>
      <c r="F73" s="13">
        <f t="shared" si="13"/>
        <v>37.307701870050899</v>
      </c>
      <c r="G73" s="13">
        <f t="shared" si="15"/>
        <v>1.6922981299491013</v>
      </c>
      <c r="H73" s="13">
        <f t="shared" si="16"/>
        <v>1.6922981299491013</v>
      </c>
      <c r="I73" s="13">
        <f t="shared" si="17"/>
        <v>2.8638729606292257</v>
      </c>
      <c r="J73" s="5">
        <f t="shared" si="18"/>
        <v>4.3392259742284653E-2</v>
      </c>
      <c r="K73" s="8">
        <f t="shared" si="14"/>
        <v>0.93591122769271573</v>
      </c>
    </row>
    <row r="74" spans="1:11" ht="15.75" customHeight="1">
      <c r="A74" s="4" t="str">
        <f t="shared" si="11"/>
        <v>Mar</v>
      </c>
      <c r="B74" s="4">
        <v>73</v>
      </c>
      <c r="C74" s="3">
        <v>21623</v>
      </c>
      <c r="D74" s="4">
        <v>31</v>
      </c>
      <c r="E74" s="13">
        <f t="shared" si="12"/>
        <v>39.881521039032833</v>
      </c>
      <c r="F74" s="13">
        <f t="shared" si="13"/>
        <v>37.325563317894094</v>
      </c>
      <c r="G74" s="13">
        <f t="shared" si="15"/>
        <v>-6.325563317894094</v>
      </c>
      <c r="H74" s="13">
        <f t="shared" si="16"/>
        <v>6.325563317894094</v>
      </c>
      <c r="I74" s="13">
        <f t="shared" si="17"/>
        <v>40.01275128868734</v>
      </c>
      <c r="J74" s="5">
        <f t="shared" si="18"/>
        <v>0.20405042960948691</v>
      </c>
      <c r="K74" s="8">
        <f t="shared" si="14"/>
        <v>0.93591122769271573</v>
      </c>
    </row>
    <row r="75" spans="1:11" ht="15.75" customHeight="1">
      <c r="A75" s="4" t="str">
        <f t="shared" si="11"/>
        <v>Mar</v>
      </c>
      <c r="B75" s="4">
        <v>74</v>
      </c>
      <c r="C75" s="3">
        <v>21624</v>
      </c>
      <c r="D75" s="4">
        <v>27</v>
      </c>
      <c r="E75" s="13">
        <f t="shared" si="12"/>
        <v>39.900605592476246</v>
      </c>
      <c r="F75" s="13">
        <f t="shared" si="13"/>
        <v>37.343424765737282</v>
      </c>
      <c r="G75" s="13">
        <f t="shared" si="15"/>
        <v>-10.343424765737282</v>
      </c>
      <c r="H75" s="13">
        <f t="shared" si="16"/>
        <v>10.343424765737282</v>
      </c>
      <c r="I75" s="13">
        <f t="shared" si="17"/>
        <v>106.98643588446735</v>
      </c>
      <c r="J75" s="5">
        <f t="shared" si="18"/>
        <v>0.38308980613841787</v>
      </c>
      <c r="K75" s="8">
        <f t="shared" si="14"/>
        <v>0.93591122769271573</v>
      </c>
    </row>
    <row r="76" spans="1:11" ht="15.75" customHeight="1">
      <c r="A76" s="4" t="str">
        <f t="shared" si="11"/>
        <v>Mar</v>
      </c>
      <c r="B76" s="4">
        <v>75</v>
      </c>
      <c r="C76" s="3">
        <v>21625</v>
      </c>
      <c r="D76" s="4">
        <v>30</v>
      </c>
      <c r="E76" s="13">
        <f t="shared" si="12"/>
        <v>39.91969014591966</v>
      </c>
      <c r="F76" s="13">
        <f t="shared" si="13"/>
        <v>37.361286213580478</v>
      </c>
      <c r="G76" s="13">
        <f t="shared" si="15"/>
        <v>-7.3612862135804775</v>
      </c>
      <c r="H76" s="13">
        <f t="shared" si="16"/>
        <v>7.3612862135804775</v>
      </c>
      <c r="I76" s="13">
        <f t="shared" si="17"/>
        <v>54.188534718250004</v>
      </c>
      <c r="J76" s="5">
        <f t="shared" si="18"/>
        <v>0.24537620711934924</v>
      </c>
      <c r="K76" s="8">
        <f t="shared" si="14"/>
        <v>0.93591122769271573</v>
      </c>
    </row>
    <row r="77" spans="1:11" ht="15.75" customHeight="1">
      <c r="A77" s="4" t="str">
        <f t="shared" si="11"/>
        <v>Mar</v>
      </c>
      <c r="B77" s="4">
        <v>76</v>
      </c>
      <c r="C77" s="3">
        <v>21626</v>
      </c>
      <c r="D77" s="4">
        <v>42</v>
      </c>
      <c r="E77" s="13">
        <f t="shared" si="12"/>
        <v>39.938774699363073</v>
      </c>
      <c r="F77" s="13">
        <f t="shared" si="13"/>
        <v>37.379147661423666</v>
      </c>
      <c r="G77" s="13">
        <f t="shared" si="15"/>
        <v>4.6208523385763343</v>
      </c>
      <c r="H77" s="13">
        <f t="shared" si="16"/>
        <v>4.6208523385763343</v>
      </c>
      <c r="I77" s="13">
        <f t="shared" si="17"/>
        <v>21.352276334926376</v>
      </c>
      <c r="J77" s="5">
        <f t="shared" si="18"/>
        <v>0.11002029377562701</v>
      </c>
      <c r="K77" s="8">
        <f t="shared" si="14"/>
        <v>0.93591122769271573</v>
      </c>
    </row>
    <row r="78" spans="1:11" ht="15.75" customHeight="1">
      <c r="A78" s="4" t="str">
        <f t="shared" si="11"/>
        <v>Mar</v>
      </c>
      <c r="B78" s="4">
        <v>77</v>
      </c>
      <c r="C78" s="3">
        <v>21627</v>
      </c>
      <c r="D78" s="4">
        <v>46</v>
      </c>
      <c r="E78" s="13">
        <f t="shared" si="12"/>
        <v>39.957859252806486</v>
      </c>
      <c r="F78" s="13">
        <f t="shared" si="13"/>
        <v>37.397009109266861</v>
      </c>
      <c r="G78" s="13">
        <f t="shared" si="15"/>
        <v>8.6029908907331389</v>
      </c>
      <c r="H78" s="13">
        <f t="shared" si="16"/>
        <v>8.6029908907331389</v>
      </c>
      <c r="I78" s="13">
        <f t="shared" si="17"/>
        <v>74.011452266037367</v>
      </c>
      <c r="J78" s="5">
        <f t="shared" si="18"/>
        <v>0.18702154110289432</v>
      </c>
      <c r="K78" s="8">
        <f t="shared" si="14"/>
        <v>0.93591122769271573</v>
      </c>
    </row>
    <row r="79" spans="1:11" ht="15.75" customHeight="1">
      <c r="A79" s="4" t="str">
        <f t="shared" si="11"/>
        <v>Mar</v>
      </c>
      <c r="B79" s="4">
        <v>78</v>
      </c>
      <c r="C79" s="3">
        <v>21628</v>
      </c>
      <c r="D79" s="4">
        <v>41</v>
      </c>
      <c r="E79" s="13">
        <f t="shared" si="12"/>
        <v>39.976943806249899</v>
      </c>
      <c r="F79" s="13">
        <f t="shared" si="13"/>
        <v>37.414870557110049</v>
      </c>
      <c r="G79" s="13">
        <f t="shared" si="15"/>
        <v>3.5851294428899507</v>
      </c>
      <c r="H79" s="13">
        <f t="shared" si="16"/>
        <v>3.5851294428899507</v>
      </c>
      <c r="I79" s="13">
        <f t="shared" si="17"/>
        <v>12.853153122276408</v>
      </c>
      <c r="J79" s="5">
        <f t="shared" si="18"/>
        <v>8.7442181533901236E-2</v>
      </c>
      <c r="K79" s="8">
        <f t="shared" si="14"/>
        <v>0.93591122769271573</v>
      </c>
    </row>
    <row r="80" spans="1:11" ht="15.75" customHeight="1">
      <c r="A80" s="4" t="str">
        <f t="shared" si="11"/>
        <v>Mar</v>
      </c>
      <c r="B80" s="4">
        <v>79</v>
      </c>
      <c r="C80" s="3">
        <v>21629</v>
      </c>
      <c r="D80" s="4">
        <v>36</v>
      </c>
      <c r="E80" s="13">
        <f t="shared" si="12"/>
        <v>39.996028359693312</v>
      </c>
      <c r="F80" s="13">
        <f t="shared" si="13"/>
        <v>37.432732004953245</v>
      </c>
      <c r="G80" s="13">
        <f t="shared" si="15"/>
        <v>-1.4327320049532446</v>
      </c>
      <c r="H80" s="13">
        <f t="shared" si="16"/>
        <v>1.4327320049532446</v>
      </c>
      <c r="I80" s="13">
        <f t="shared" si="17"/>
        <v>2.0527209980173442</v>
      </c>
      <c r="J80" s="5">
        <f t="shared" si="18"/>
        <v>3.9798111248701237E-2</v>
      </c>
      <c r="K80" s="8">
        <f t="shared" si="14"/>
        <v>0.93591122769271573</v>
      </c>
    </row>
    <row r="81" spans="1:11" ht="15.75" customHeight="1">
      <c r="A81" s="4" t="str">
        <f t="shared" si="11"/>
        <v>Mar</v>
      </c>
      <c r="B81" s="4">
        <v>80</v>
      </c>
      <c r="C81" s="3">
        <v>21630</v>
      </c>
      <c r="D81" s="4">
        <v>45</v>
      </c>
      <c r="E81" s="13">
        <f t="shared" si="12"/>
        <v>40.015112913136726</v>
      </c>
      <c r="F81" s="13">
        <f t="shared" si="13"/>
        <v>37.450593452796433</v>
      </c>
      <c r="G81" s="13">
        <f t="shared" si="15"/>
        <v>7.5494065472035672</v>
      </c>
      <c r="H81" s="13">
        <f t="shared" si="16"/>
        <v>7.5494065472035672</v>
      </c>
      <c r="I81" s="13">
        <f t="shared" si="17"/>
        <v>56.993539214960087</v>
      </c>
      <c r="J81" s="5">
        <f t="shared" si="18"/>
        <v>0.16776458993785706</v>
      </c>
      <c r="K81" s="8">
        <f t="shared" si="14"/>
        <v>0.93591122769271573</v>
      </c>
    </row>
    <row r="82" spans="1:11" ht="15.75" customHeight="1">
      <c r="A82" s="4" t="str">
        <f t="shared" si="11"/>
        <v>Mar</v>
      </c>
      <c r="B82" s="4">
        <v>81</v>
      </c>
      <c r="C82" s="3">
        <v>21631</v>
      </c>
      <c r="D82" s="4">
        <v>46</v>
      </c>
      <c r="E82" s="13">
        <f t="shared" si="12"/>
        <v>40.034197466580132</v>
      </c>
      <c r="F82" s="13">
        <f t="shared" si="13"/>
        <v>37.468454900639621</v>
      </c>
      <c r="G82" s="13">
        <f t="shared" si="15"/>
        <v>8.531545099360379</v>
      </c>
      <c r="H82" s="13">
        <f t="shared" si="16"/>
        <v>8.531545099360379</v>
      </c>
      <c r="I82" s="13">
        <f t="shared" si="17"/>
        <v>72.787261782420103</v>
      </c>
      <c r="J82" s="5">
        <f t="shared" si="18"/>
        <v>0.18546837172522562</v>
      </c>
      <c r="K82" s="8">
        <f t="shared" si="14"/>
        <v>0.93591122769271573</v>
      </c>
    </row>
    <row r="83" spans="1:11" ht="15.75" customHeight="1">
      <c r="A83" s="4" t="str">
        <f t="shared" si="11"/>
        <v>Mar</v>
      </c>
      <c r="B83" s="4">
        <v>82</v>
      </c>
      <c r="C83" s="3">
        <v>21632</v>
      </c>
      <c r="D83" s="4">
        <v>43</v>
      </c>
      <c r="E83" s="13">
        <f t="shared" si="12"/>
        <v>40.053282020023545</v>
      </c>
      <c r="F83" s="13">
        <f t="shared" si="13"/>
        <v>37.486316348482816</v>
      </c>
      <c r="G83" s="13">
        <f t="shared" si="15"/>
        <v>5.5136836515171836</v>
      </c>
      <c r="H83" s="13">
        <f t="shared" si="16"/>
        <v>5.5136836515171836</v>
      </c>
      <c r="I83" s="13">
        <f t="shared" si="17"/>
        <v>30.400707409007865</v>
      </c>
      <c r="J83" s="5">
        <f t="shared" si="18"/>
        <v>0.12822520119807404</v>
      </c>
      <c r="K83" s="8">
        <f t="shared" si="14"/>
        <v>0.93591122769271573</v>
      </c>
    </row>
    <row r="84" spans="1:11" ht="15.75" customHeight="1">
      <c r="A84" s="4" t="str">
        <f t="shared" si="11"/>
        <v>Mar</v>
      </c>
      <c r="B84" s="4">
        <v>83</v>
      </c>
      <c r="C84" s="3">
        <v>21633</v>
      </c>
      <c r="D84" s="4">
        <v>38</v>
      </c>
      <c r="E84" s="13">
        <f t="shared" si="12"/>
        <v>40.072366573466958</v>
      </c>
      <c r="F84" s="13">
        <f t="shared" si="13"/>
        <v>37.504177796326005</v>
      </c>
      <c r="G84" s="13">
        <f t="shared" si="15"/>
        <v>0.49582220367399543</v>
      </c>
      <c r="H84" s="13">
        <f t="shared" si="16"/>
        <v>0.49582220367399543</v>
      </c>
      <c r="I84" s="13">
        <f t="shared" si="17"/>
        <v>0.24583965765613702</v>
      </c>
      <c r="J84" s="5">
        <f t="shared" si="18"/>
        <v>1.3047952728263038E-2</v>
      </c>
      <c r="K84" s="8">
        <f t="shared" si="14"/>
        <v>0.93591122769271573</v>
      </c>
    </row>
    <row r="85" spans="1:11" ht="15.75" customHeight="1">
      <c r="A85" s="4" t="str">
        <f t="shared" si="11"/>
        <v>Mar</v>
      </c>
      <c r="B85" s="4">
        <v>84</v>
      </c>
      <c r="C85" s="3">
        <v>21634</v>
      </c>
      <c r="D85" s="4">
        <v>34</v>
      </c>
      <c r="E85" s="13">
        <f t="shared" si="12"/>
        <v>40.091451126910371</v>
      </c>
      <c r="F85" s="13">
        <f t="shared" si="13"/>
        <v>37.5220392441692</v>
      </c>
      <c r="G85" s="13">
        <f t="shared" si="15"/>
        <v>-3.5220392441691999</v>
      </c>
      <c r="H85" s="13">
        <f t="shared" si="16"/>
        <v>3.5220392441691999</v>
      </c>
      <c r="I85" s="13">
        <f t="shared" si="17"/>
        <v>12.404760437467949</v>
      </c>
      <c r="J85" s="5">
        <f t="shared" si="18"/>
        <v>0.10358938953438823</v>
      </c>
      <c r="K85" s="8">
        <f t="shared" si="14"/>
        <v>0.93591122769271573</v>
      </c>
    </row>
    <row r="86" spans="1:11" ht="15.75" customHeight="1">
      <c r="A86" s="4" t="str">
        <f t="shared" si="11"/>
        <v>Mar</v>
      </c>
      <c r="B86" s="4">
        <v>85</v>
      </c>
      <c r="C86" s="3">
        <v>21635</v>
      </c>
      <c r="D86" s="4">
        <v>35</v>
      </c>
      <c r="E86" s="13">
        <f t="shared" si="12"/>
        <v>40.110535680353784</v>
      </c>
      <c r="F86" s="13">
        <f t="shared" si="13"/>
        <v>37.539900692012388</v>
      </c>
      <c r="G86" s="13">
        <f t="shared" si="15"/>
        <v>-2.5399006920123881</v>
      </c>
      <c r="H86" s="13">
        <f t="shared" si="16"/>
        <v>2.5399006920123881</v>
      </c>
      <c r="I86" s="13">
        <f t="shared" si="17"/>
        <v>6.451095525285008</v>
      </c>
      <c r="J86" s="5">
        <f t="shared" si="18"/>
        <v>7.2568591200353944E-2</v>
      </c>
      <c r="K86" s="8">
        <f t="shared" si="14"/>
        <v>0.93591122769271573</v>
      </c>
    </row>
    <row r="87" spans="1:11" ht="15.75" customHeight="1">
      <c r="A87" s="4" t="str">
        <f t="shared" si="11"/>
        <v>Mar</v>
      </c>
      <c r="B87" s="4">
        <v>86</v>
      </c>
      <c r="C87" s="3">
        <v>21636</v>
      </c>
      <c r="D87" s="4">
        <v>56</v>
      </c>
      <c r="E87" s="13">
        <f t="shared" si="12"/>
        <v>40.129620233797198</v>
      </c>
      <c r="F87" s="13">
        <f t="shared" si="13"/>
        <v>37.557762139855583</v>
      </c>
      <c r="G87" s="13">
        <f t="shared" si="15"/>
        <v>18.442237860144417</v>
      </c>
      <c r="H87" s="13">
        <f t="shared" si="16"/>
        <v>18.442237860144417</v>
      </c>
      <c r="I87" s="13">
        <f t="shared" si="17"/>
        <v>340.11613729014408</v>
      </c>
      <c r="J87" s="5">
        <f t="shared" si="18"/>
        <v>0.32932567607400742</v>
      </c>
      <c r="K87" s="8">
        <f t="shared" si="14"/>
        <v>0.93591122769271573</v>
      </c>
    </row>
    <row r="88" spans="1:11" ht="15.75" customHeight="1">
      <c r="A88" s="4" t="str">
        <f t="shared" si="11"/>
        <v>Mar</v>
      </c>
      <c r="B88" s="4">
        <v>87</v>
      </c>
      <c r="C88" s="3">
        <v>21637</v>
      </c>
      <c r="D88" s="4">
        <v>36</v>
      </c>
      <c r="E88" s="13">
        <f t="shared" si="12"/>
        <v>40.148704787240611</v>
      </c>
      <c r="F88" s="13">
        <f t="shared" si="13"/>
        <v>37.575623587698772</v>
      </c>
      <c r="G88" s="13">
        <f t="shared" si="15"/>
        <v>-1.5756235876987716</v>
      </c>
      <c r="H88" s="13">
        <f t="shared" si="16"/>
        <v>1.5756235876987716</v>
      </c>
      <c r="I88" s="13">
        <f t="shared" si="17"/>
        <v>2.4825896901127487</v>
      </c>
      <c r="J88" s="5">
        <f t="shared" si="18"/>
        <v>4.3767321880521431E-2</v>
      </c>
      <c r="K88" s="8">
        <f t="shared" si="14"/>
        <v>0.93591122769271573</v>
      </c>
    </row>
    <row r="89" spans="1:11" ht="15.75" customHeight="1">
      <c r="A89" s="4" t="str">
        <f t="shared" si="11"/>
        <v>Mar</v>
      </c>
      <c r="B89" s="4">
        <v>88</v>
      </c>
      <c r="C89" s="3">
        <v>21638</v>
      </c>
      <c r="D89" s="4">
        <v>32</v>
      </c>
      <c r="E89" s="13">
        <f t="shared" si="12"/>
        <v>40.167789340684024</v>
      </c>
      <c r="F89" s="13">
        <f t="shared" si="13"/>
        <v>37.593485035541967</v>
      </c>
      <c r="G89" s="13">
        <f t="shared" si="15"/>
        <v>-5.593485035541967</v>
      </c>
      <c r="H89" s="13">
        <f t="shared" si="16"/>
        <v>5.593485035541967</v>
      </c>
      <c r="I89" s="13">
        <f t="shared" si="17"/>
        <v>31.28707484283192</v>
      </c>
      <c r="J89" s="5">
        <f t="shared" si="18"/>
        <v>0.17479640736068647</v>
      </c>
      <c r="K89" s="8">
        <f t="shared" si="14"/>
        <v>0.93591122769271573</v>
      </c>
    </row>
    <row r="90" spans="1:11" ht="15.75" customHeight="1">
      <c r="A90" s="4" t="str">
        <f t="shared" si="11"/>
        <v>Mar</v>
      </c>
      <c r="B90" s="4">
        <v>89</v>
      </c>
      <c r="C90" s="3">
        <v>21639</v>
      </c>
      <c r="D90" s="4">
        <v>50</v>
      </c>
      <c r="E90" s="13">
        <f t="shared" si="12"/>
        <v>40.186873894127437</v>
      </c>
      <c r="F90" s="13">
        <f t="shared" si="13"/>
        <v>37.611346483385155</v>
      </c>
      <c r="G90" s="13">
        <f t="shared" si="15"/>
        <v>12.388653516614845</v>
      </c>
      <c r="H90" s="13">
        <f t="shared" si="16"/>
        <v>12.388653516614845</v>
      </c>
      <c r="I90" s="13">
        <f t="shared" si="17"/>
        <v>153.47873595473337</v>
      </c>
      <c r="J90" s="5">
        <f t="shared" si="18"/>
        <v>0.2477730703322969</v>
      </c>
      <c r="K90" s="8">
        <f t="shared" si="14"/>
        <v>0.93591122769271573</v>
      </c>
    </row>
    <row r="91" spans="1:11" ht="15.75" customHeight="1">
      <c r="A91" s="4" t="str">
        <f t="shared" si="11"/>
        <v>Mar</v>
      </c>
      <c r="B91" s="4">
        <v>90</v>
      </c>
      <c r="C91" s="3">
        <v>21640</v>
      </c>
      <c r="D91" s="4">
        <v>41</v>
      </c>
      <c r="E91" s="13">
        <f t="shared" si="12"/>
        <v>40.20595844757085</v>
      </c>
      <c r="F91" s="13">
        <f t="shared" si="13"/>
        <v>37.629207931228351</v>
      </c>
      <c r="G91" s="13">
        <f t="shared" si="15"/>
        <v>3.3707920687716495</v>
      </c>
      <c r="H91" s="13">
        <f t="shared" si="16"/>
        <v>3.3707920687716495</v>
      </c>
      <c r="I91" s="13">
        <f t="shared" si="17"/>
        <v>11.362239170893856</v>
      </c>
      <c r="J91" s="5">
        <f t="shared" si="18"/>
        <v>8.2214440701747549E-2</v>
      </c>
      <c r="K91" s="8">
        <f t="shared" si="14"/>
        <v>0.93591122769271573</v>
      </c>
    </row>
    <row r="92" spans="1:11" ht="15.75" customHeight="1">
      <c r="A92" s="4" t="str">
        <f t="shared" si="11"/>
        <v>Apr</v>
      </c>
      <c r="B92" s="4">
        <v>91</v>
      </c>
      <c r="C92" s="3">
        <v>21641</v>
      </c>
      <c r="D92" s="4">
        <v>39</v>
      </c>
      <c r="E92" s="13">
        <f t="shared" si="12"/>
        <v>40.225043001014264</v>
      </c>
      <c r="F92" s="13">
        <f t="shared" si="13"/>
        <v>38.167369599006719</v>
      </c>
      <c r="G92" s="13">
        <f t="shared" si="15"/>
        <v>0.83263040099328123</v>
      </c>
      <c r="H92" s="13">
        <f t="shared" si="16"/>
        <v>0.83263040099328123</v>
      </c>
      <c r="I92" s="13">
        <f t="shared" si="17"/>
        <v>0.69327338465823229</v>
      </c>
      <c r="J92" s="5">
        <f t="shared" si="18"/>
        <v>2.1349497461366187E-2</v>
      </c>
      <c r="K92" s="8">
        <f t="shared" si="14"/>
        <v>0.94884596140877553</v>
      </c>
    </row>
    <row r="93" spans="1:11" ht="15.75" customHeight="1">
      <c r="A93" s="4" t="str">
        <f t="shared" si="11"/>
        <v>Apr</v>
      </c>
      <c r="B93" s="4">
        <v>92</v>
      </c>
      <c r="C93" s="3">
        <v>21642</v>
      </c>
      <c r="D93" s="4">
        <v>41</v>
      </c>
      <c r="E93" s="13">
        <f t="shared" si="12"/>
        <v>40.244127554457677</v>
      </c>
      <c r="F93" s="13">
        <f t="shared" si="13"/>
        <v>38.185477900466786</v>
      </c>
      <c r="G93" s="13">
        <f t="shared" si="15"/>
        <v>2.8145220995332139</v>
      </c>
      <c r="H93" s="13">
        <f t="shared" si="16"/>
        <v>2.8145220995332139</v>
      </c>
      <c r="I93" s="13">
        <f t="shared" si="17"/>
        <v>7.9215346487608498</v>
      </c>
      <c r="J93" s="5">
        <f t="shared" si="18"/>
        <v>6.8646880476419855E-2</v>
      </c>
      <c r="K93" s="8">
        <f t="shared" si="14"/>
        <v>0.94884596140877553</v>
      </c>
    </row>
    <row r="94" spans="1:11" ht="15.75" customHeight="1">
      <c r="A94" s="4" t="str">
        <f t="shared" si="11"/>
        <v>Apr</v>
      </c>
      <c r="B94" s="4">
        <v>93</v>
      </c>
      <c r="C94" s="3">
        <v>21643</v>
      </c>
      <c r="D94" s="4">
        <v>47</v>
      </c>
      <c r="E94" s="13">
        <f t="shared" si="12"/>
        <v>40.263212107901083</v>
      </c>
      <c r="F94" s="13">
        <f t="shared" si="13"/>
        <v>38.203586201926854</v>
      </c>
      <c r="G94" s="13">
        <f t="shared" si="15"/>
        <v>8.7964137980731465</v>
      </c>
      <c r="H94" s="13">
        <f t="shared" si="16"/>
        <v>8.7964137980731465</v>
      </c>
      <c r="I94" s="13">
        <f t="shared" si="17"/>
        <v>77.376895706931634</v>
      </c>
      <c r="J94" s="5">
        <f t="shared" si="18"/>
        <v>0.18715774038453503</v>
      </c>
      <c r="K94" s="8">
        <f t="shared" si="14"/>
        <v>0.94884596140877553</v>
      </c>
    </row>
    <row r="95" spans="1:11" ht="15.75" customHeight="1">
      <c r="A95" s="4" t="str">
        <f t="shared" si="11"/>
        <v>Apr</v>
      </c>
      <c r="B95" s="4">
        <v>94</v>
      </c>
      <c r="C95" s="3">
        <v>21644</v>
      </c>
      <c r="D95" s="4">
        <v>34</v>
      </c>
      <c r="E95" s="13">
        <f t="shared" si="12"/>
        <v>40.282296661344496</v>
      </c>
      <c r="F95" s="13">
        <f t="shared" si="13"/>
        <v>38.221694503386928</v>
      </c>
      <c r="G95" s="13">
        <f t="shared" si="15"/>
        <v>-4.221694503386928</v>
      </c>
      <c r="H95" s="13">
        <f t="shared" si="16"/>
        <v>4.221694503386928</v>
      </c>
      <c r="I95" s="13">
        <f t="shared" si="17"/>
        <v>17.822704479927399</v>
      </c>
      <c r="J95" s="5">
        <f t="shared" si="18"/>
        <v>0.12416748539373318</v>
      </c>
      <c r="K95" s="8">
        <f t="shared" si="14"/>
        <v>0.94884596140877553</v>
      </c>
    </row>
    <row r="96" spans="1:11" ht="15.75" customHeight="1">
      <c r="A96" s="4" t="str">
        <f t="shared" si="11"/>
        <v>Apr</v>
      </c>
      <c r="B96" s="4">
        <v>95</v>
      </c>
      <c r="C96" s="3">
        <v>21645</v>
      </c>
      <c r="D96" s="4">
        <v>36</v>
      </c>
      <c r="E96" s="13">
        <f t="shared" si="12"/>
        <v>40.301381214787909</v>
      </c>
      <c r="F96" s="13">
        <f t="shared" si="13"/>
        <v>38.239802804847002</v>
      </c>
      <c r="G96" s="13">
        <f t="shared" si="15"/>
        <v>-2.2398028048470024</v>
      </c>
      <c r="H96" s="13">
        <f t="shared" si="16"/>
        <v>2.2398028048470024</v>
      </c>
      <c r="I96" s="13">
        <f t="shared" si="17"/>
        <v>5.0167166046004992</v>
      </c>
      <c r="J96" s="5">
        <f t="shared" si="18"/>
        <v>6.2216744579083404E-2</v>
      </c>
      <c r="K96" s="8">
        <f t="shared" si="14"/>
        <v>0.94884596140877553</v>
      </c>
    </row>
    <row r="97" spans="1:11" ht="15.75" customHeight="1">
      <c r="A97" s="4" t="str">
        <f t="shared" si="11"/>
        <v>Apr</v>
      </c>
      <c r="B97" s="4">
        <v>96</v>
      </c>
      <c r="C97" s="3">
        <v>21646</v>
      </c>
      <c r="D97" s="4">
        <v>33</v>
      </c>
      <c r="E97" s="13">
        <f t="shared" si="12"/>
        <v>40.320465768231323</v>
      </c>
      <c r="F97" s="13">
        <f t="shared" si="13"/>
        <v>38.25791110630707</v>
      </c>
      <c r="G97" s="13">
        <f t="shared" si="15"/>
        <v>-5.2579111063070698</v>
      </c>
      <c r="H97" s="13">
        <f t="shared" si="16"/>
        <v>5.2579111063070698</v>
      </c>
      <c r="I97" s="13">
        <f t="shared" si="17"/>
        <v>27.645629201827234</v>
      </c>
      <c r="J97" s="5">
        <f t="shared" si="18"/>
        <v>0.15933063958506272</v>
      </c>
      <c r="K97" s="8">
        <f t="shared" si="14"/>
        <v>0.94884596140877553</v>
      </c>
    </row>
    <row r="98" spans="1:11" ht="15.75" customHeight="1">
      <c r="A98" s="4" t="str">
        <f t="shared" si="11"/>
        <v>Apr</v>
      </c>
      <c r="B98" s="4">
        <v>97</v>
      </c>
      <c r="C98" s="3">
        <v>21647</v>
      </c>
      <c r="D98" s="4">
        <v>35</v>
      </c>
      <c r="E98" s="13">
        <f t="shared" si="12"/>
        <v>40.339550321674736</v>
      </c>
      <c r="F98" s="13">
        <f t="shared" si="13"/>
        <v>38.276019407767144</v>
      </c>
      <c r="G98" s="13">
        <f t="shared" si="15"/>
        <v>-3.2760194077671443</v>
      </c>
      <c r="H98" s="13">
        <f t="shared" si="16"/>
        <v>3.2760194077671443</v>
      </c>
      <c r="I98" s="13">
        <f t="shared" si="17"/>
        <v>10.732303160066991</v>
      </c>
      <c r="J98" s="5">
        <f t="shared" si="18"/>
        <v>9.3600554507632688E-2</v>
      </c>
      <c r="K98" s="8">
        <f t="shared" si="14"/>
        <v>0.94884596140877553</v>
      </c>
    </row>
    <row r="99" spans="1:11" ht="15.75" customHeight="1">
      <c r="A99" s="4" t="str">
        <f t="shared" si="11"/>
        <v>Apr</v>
      </c>
      <c r="B99" s="4">
        <v>98</v>
      </c>
      <c r="C99" s="3">
        <v>21648</v>
      </c>
      <c r="D99" s="4">
        <v>38</v>
      </c>
      <c r="E99" s="13">
        <f t="shared" si="12"/>
        <v>40.358634875118149</v>
      </c>
      <c r="F99" s="13">
        <f t="shared" si="13"/>
        <v>38.294127709227219</v>
      </c>
      <c r="G99" s="13">
        <f t="shared" si="15"/>
        <v>-0.29412770922721876</v>
      </c>
      <c r="H99" s="13">
        <f t="shared" si="16"/>
        <v>0.29412770922721876</v>
      </c>
      <c r="I99" s="13">
        <f t="shared" si="17"/>
        <v>8.6511109335251343E-2</v>
      </c>
      <c r="J99" s="5">
        <f t="shared" si="18"/>
        <v>7.7402028744004937E-3</v>
      </c>
      <c r="K99" s="8">
        <f t="shared" si="14"/>
        <v>0.94884596140877553</v>
      </c>
    </row>
    <row r="100" spans="1:11" ht="15.75" customHeight="1">
      <c r="A100" s="4" t="str">
        <f t="shared" si="11"/>
        <v>Apr</v>
      </c>
      <c r="B100" s="4">
        <v>99</v>
      </c>
      <c r="C100" s="3">
        <v>21649</v>
      </c>
      <c r="D100" s="4">
        <v>38</v>
      </c>
      <c r="E100" s="13">
        <f t="shared" si="12"/>
        <v>40.377719428561562</v>
      </c>
      <c r="F100" s="13">
        <f t="shared" si="13"/>
        <v>38.312236010687293</v>
      </c>
      <c r="G100" s="13">
        <f t="shared" si="15"/>
        <v>-0.31223601068729323</v>
      </c>
      <c r="H100" s="13">
        <f t="shared" si="16"/>
        <v>0.31223601068729323</v>
      </c>
      <c r="I100" s="13">
        <f t="shared" si="17"/>
        <v>9.749132636991549E-2</v>
      </c>
      <c r="J100" s="5">
        <f t="shared" si="18"/>
        <v>8.2167371233498217E-3</v>
      </c>
      <c r="K100" s="8">
        <f t="shared" si="14"/>
        <v>0.94884596140877553</v>
      </c>
    </row>
    <row r="101" spans="1:11" ht="15.75" customHeight="1">
      <c r="A101" s="4" t="str">
        <f t="shared" si="11"/>
        <v>Apr</v>
      </c>
      <c r="B101" s="4">
        <v>100</v>
      </c>
      <c r="C101" s="3">
        <v>21650</v>
      </c>
      <c r="D101" s="4">
        <v>34</v>
      </c>
      <c r="E101" s="13">
        <f t="shared" si="12"/>
        <v>40.396803982004975</v>
      </c>
      <c r="F101" s="13">
        <f t="shared" si="13"/>
        <v>38.330344312147361</v>
      </c>
      <c r="G101" s="13">
        <f t="shared" si="15"/>
        <v>-4.3303443121473606</v>
      </c>
      <c r="H101" s="13">
        <f t="shared" si="16"/>
        <v>4.3303443121473606</v>
      </c>
      <c r="I101" s="13">
        <f t="shared" si="17"/>
        <v>18.751881861746998</v>
      </c>
      <c r="J101" s="5">
        <f t="shared" si="18"/>
        <v>0.12736306800433414</v>
      </c>
      <c r="K101" s="8">
        <f t="shared" si="14"/>
        <v>0.94884596140877553</v>
      </c>
    </row>
    <row r="102" spans="1:11" ht="15.75" customHeight="1">
      <c r="A102" s="4" t="str">
        <f t="shared" si="11"/>
        <v>Apr</v>
      </c>
      <c r="B102" s="4">
        <v>101</v>
      </c>
      <c r="C102" s="3">
        <v>21651</v>
      </c>
      <c r="D102" s="4">
        <v>53</v>
      </c>
      <c r="E102" s="13">
        <f t="shared" si="12"/>
        <v>40.415888535448389</v>
      </c>
      <c r="F102" s="13">
        <f t="shared" si="13"/>
        <v>38.348452613607435</v>
      </c>
      <c r="G102" s="13">
        <f t="shared" si="15"/>
        <v>14.651547386392565</v>
      </c>
      <c r="H102" s="13">
        <f t="shared" si="16"/>
        <v>14.651547386392565</v>
      </c>
      <c r="I102" s="13">
        <f t="shared" si="17"/>
        <v>214.6678408157068</v>
      </c>
      <c r="J102" s="5">
        <f t="shared" si="18"/>
        <v>0.27644429030929368</v>
      </c>
      <c r="K102" s="8">
        <f t="shared" si="14"/>
        <v>0.94884596140877553</v>
      </c>
    </row>
    <row r="103" spans="1:11" ht="15.75" customHeight="1">
      <c r="A103" s="4" t="str">
        <f t="shared" si="11"/>
        <v>Apr</v>
      </c>
      <c r="B103" s="4">
        <v>102</v>
      </c>
      <c r="C103" s="3">
        <v>21652</v>
      </c>
      <c r="D103" s="4">
        <v>34</v>
      </c>
      <c r="E103" s="13">
        <f t="shared" si="12"/>
        <v>40.434973088891802</v>
      </c>
      <c r="F103" s="13">
        <f t="shared" si="13"/>
        <v>38.36656091506751</v>
      </c>
      <c r="G103" s="13">
        <f t="shared" si="15"/>
        <v>-4.3665609150675095</v>
      </c>
      <c r="H103" s="13">
        <f t="shared" si="16"/>
        <v>4.3665609150675095</v>
      </c>
      <c r="I103" s="13">
        <f t="shared" si="17"/>
        <v>19.066854224995208</v>
      </c>
      <c r="J103" s="5">
        <f t="shared" si="18"/>
        <v>0.12842826220786793</v>
      </c>
      <c r="K103" s="8">
        <f t="shared" si="14"/>
        <v>0.94884596140877553</v>
      </c>
    </row>
    <row r="104" spans="1:11" ht="15.75" customHeight="1">
      <c r="A104" s="4" t="str">
        <f t="shared" si="11"/>
        <v>Apr</v>
      </c>
      <c r="B104" s="4">
        <v>103</v>
      </c>
      <c r="C104" s="3">
        <v>21653</v>
      </c>
      <c r="D104" s="4">
        <v>34</v>
      </c>
      <c r="E104" s="13">
        <f t="shared" si="12"/>
        <v>40.454057642335215</v>
      </c>
      <c r="F104" s="13">
        <f t="shared" si="13"/>
        <v>38.384669216527577</v>
      </c>
      <c r="G104" s="13">
        <f t="shared" si="15"/>
        <v>-4.3846692165275769</v>
      </c>
      <c r="H104" s="13">
        <f t="shared" si="16"/>
        <v>4.3846692165275769</v>
      </c>
      <c r="I104" s="13">
        <f t="shared" si="17"/>
        <v>19.225324138364556</v>
      </c>
      <c r="J104" s="5">
        <f t="shared" si="18"/>
        <v>0.12896085930963461</v>
      </c>
      <c r="K104" s="8">
        <f t="shared" si="14"/>
        <v>0.94884596140877553</v>
      </c>
    </row>
    <row r="105" spans="1:11" ht="15.75" customHeight="1">
      <c r="A105" s="4" t="str">
        <f t="shared" si="11"/>
        <v>Apr</v>
      </c>
      <c r="B105" s="4">
        <v>104</v>
      </c>
      <c r="C105" s="3">
        <v>21654</v>
      </c>
      <c r="D105" s="4">
        <v>38</v>
      </c>
      <c r="E105" s="13">
        <f t="shared" si="12"/>
        <v>40.473142195778628</v>
      </c>
      <c r="F105" s="13">
        <f t="shared" si="13"/>
        <v>38.402777517987651</v>
      </c>
      <c r="G105" s="13">
        <f t="shared" si="15"/>
        <v>-0.40277751798765138</v>
      </c>
      <c r="H105" s="13">
        <f t="shared" si="16"/>
        <v>0.40277751798765138</v>
      </c>
      <c r="I105" s="13">
        <f t="shared" si="17"/>
        <v>0.16222972899629284</v>
      </c>
      <c r="J105" s="5">
        <f t="shared" si="18"/>
        <v>1.0599408368096089E-2</v>
      </c>
      <c r="K105" s="8">
        <f t="shared" si="14"/>
        <v>0.94884596140877553</v>
      </c>
    </row>
    <row r="106" spans="1:11" ht="15.75" customHeight="1">
      <c r="A106" s="4" t="str">
        <f t="shared" si="11"/>
        <v>Apr</v>
      </c>
      <c r="B106" s="4">
        <v>105</v>
      </c>
      <c r="C106" s="3">
        <v>21655</v>
      </c>
      <c r="D106" s="4">
        <v>35</v>
      </c>
      <c r="E106" s="13">
        <f t="shared" si="12"/>
        <v>40.492226749222041</v>
      </c>
      <c r="F106" s="13">
        <f t="shared" si="13"/>
        <v>38.420885819447726</v>
      </c>
      <c r="G106" s="13">
        <f t="shared" si="15"/>
        <v>-3.4208858194477259</v>
      </c>
      <c r="H106" s="13">
        <f t="shared" si="16"/>
        <v>3.4208858194477259</v>
      </c>
      <c r="I106" s="13">
        <f t="shared" si="17"/>
        <v>11.702459789698539</v>
      </c>
      <c r="J106" s="5">
        <f t="shared" si="18"/>
        <v>9.7739594841363589E-2</v>
      </c>
      <c r="K106" s="8">
        <f t="shared" si="14"/>
        <v>0.94884596140877553</v>
      </c>
    </row>
    <row r="107" spans="1:11" ht="15.75" customHeight="1">
      <c r="A107" s="4" t="str">
        <f t="shared" si="11"/>
        <v>Apr</v>
      </c>
      <c r="B107" s="4">
        <v>106</v>
      </c>
      <c r="C107" s="3">
        <v>21656</v>
      </c>
      <c r="D107" s="4">
        <v>32</v>
      </c>
      <c r="E107" s="13">
        <f t="shared" si="12"/>
        <v>40.511311302665447</v>
      </c>
      <c r="F107" s="13">
        <f t="shared" si="13"/>
        <v>38.438994120907793</v>
      </c>
      <c r="G107" s="13">
        <f t="shared" si="15"/>
        <v>-6.4389941209077932</v>
      </c>
      <c r="H107" s="13">
        <f t="shared" si="16"/>
        <v>6.4389941209077932</v>
      </c>
      <c r="I107" s="13">
        <f t="shared" si="17"/>
        <v>41.460645289085122</v>
      </c>
      <c r="J107" s="5">
        <f t="shared" si="18"/>
        <v>0.20121856627836854</v>
      </c>
      <c r="K107" s="8">
        <f t="shared" si="14"/>
        <v>0.94884596140877553</v>
      </c>
    </row>
    <row r="108" spans="1:11" ht="15.75" customHeight="1">
      <c r="A108" s="4" t="str">
        <f t="shared" si="11"/>
        <v>Apr</v>
      </c>
      <c r="B108" s="4">
        <v>107</v>
      </c>
      <c r="C108" s="3">
        <v>21657</v>
      </c>
      <c r="D108" s="4">
        <v>42</v>
      </c>
      <c r="E108" s="13">
        <f t="shared" si="12"/>
        <v>40.530395856108861</v>
      </c>
      <c r="F108" s="13">
        <f t="shared" si="13"/>
        <v>38.457102422367861</v>
      </c>
      <c r="G108" s="13">
        <f t="shared" si="15"/>
        <v>3.5428975776321394</v>
      </c>
      <c r="H108" s="13">
        <f t="shared" si="16"/>
        <v>3.5428975776321394</v>
      </c>
      <c r="I108" s="13">
        <f t="shared" si="17"/>
        <v>12.552123245591682</v>
      </c>
      <c r="J108" s="5">
        <f t="shared" si="18"/>
        <v>8.4354704229336649E-2</v>
      </c>
      <c r="K108" s="8">
        <f t="shared" si="14"/>
        <v>0.94884596140877553</v>
      </c>
    </row>
    <row r="109" spans="1:11" ht="15.75" customHeight="1">
      <c r="A109" s="4" t="str">
        <f t="shared" si="11"/>
        <v>Apr</v>
      </c>
      <c r="B109" s="4">
        <v>108</v>
      </c>
      <c r="C109" s="3">
        <v>21658</v>
      </c>
      <c r="D109" s="4">
        <v>34</v>
      </c>
      <c r="E109" s="13">
        <f t="shared" si="12"/>
        <v>40.549480409552274</v>
      </c>
      <c r="F109" s="13">
        <f t="shared" si="13"/>
        <v>38.475210723827935</v>
      </c>
      <c r="G109" s="13">
        <f t="shared" si="15"/>
        <v>-4.4752107238279351</v>
      </c>
      <c r="H109" s="13">
        <f t="shared" si="16"/>
        <v>4.4752107238279351</v>
      </c>
      <c r="I109" s="13">
        <f t="shared" si="17"/>
        <v>20.027511022664552</v>
      </c>
      <c r="J109" s="5">
        <f t="shared" si="18"/>
        <v>0.13162384481846867</v>
      </c>
      <c r="K109" s="8">
        <f t="shared" si="14"/>
        <v>0.94884596140877553</v>
      </c>
    </row>
    <row r="110" spans="1:11" ht="15.75" customHeight="1">
      <c r="A110" s="4" t="str">
        <f t="shared" si="11"/>
        <v>Apr</v>
      </c>
      <c r="B110" s="4">
        <v>109</v>
      </c>
      <c r="C110" s="3">
        <v>21659</v>
      </c>
      <c r="D110" s="4">
        <v>46</v>
      </c>
      <c r="E110" s="13">
        <f t="shared" si="12"/>
        <v>40.568564962995687</v>
      </c>
      <c r="F110" s="13">
        <f t="shared" si="13"/>
        <v>38.49331902528801</v>
      </c>
      <c r="G110" s="13">
        <f t="shared" si="15"/>
        <v>7.5066809747119905</v>
      </c>
      <c r="H110" s="13">
        <f t="shared" si="16"/>
        <v>7.5066809747119905</v>
      </c>
      <c r="I110" s="13">
        <f t="shared" si="17"/>
        <v>56.350259256102959</v>
      </c>
      <c r="J110" s="5">
        <f t="shared" si="18"/>
        <v>0.16318871684156502</v>
      </c>
      <c r="K110" s="8">
        <f t="shared" si="14"/>
        <v>0.94884596140877553</v>
      </c>
    </row>
    <row r="111" spans="1:11" ht="15.75" customHeight="1">
      <c r="A111" s="4" t="str">
        <f t="shared" si="11"/>
        <v>Apr</v>
      </c>
      <c r="B111" s="4">
        <v>110</v>
      </c>
      <c r="C111" s="3">
        <v>21660</v>
      </c>
      <c r="D111" s="4">
        <v>30</v>
      </c>
      <c r="E111" s="13">
        <f t="shared" si="12"/>
        <v>40.5876495164391</v>
      </c>
      <c r="F111" s="13">
        <f t="shared" si="13"/>
        <v>38.511427326748084</v>
      </c>
      <c r="G111" s="13">
        <f t="shared" si="15"/>
        <v>-8.511427326748084</v>
      </c>
      <c r="H111" s="13">
        <f t="shared" si="16"/>
        <v>8.511427326748084</v>
      </c>
      <c r="I111" s="13">
        <f t="shared" si="17"/>
        <v>72.444395138514039</v>
      </c>
      <c r="J111" s="5">
        <f t="shared" si="18"/>
        <v>0.28371424422493613</v>
      </c>
      <c r="K111" s="8">
        <f t="shared" si="14"/>
        <v>0.94884596140877553</v>
      </c>
    </row>
    <row r="112" spans="1:11" ht="15.75" customHeight="1">
      <c r="A112" s="4" t="str">
        <f t="shared" si="11"/>
        <v>Apr</v>
      </c>
      <c r="B112" s="4">
        <v>111</v>
      </c>
      <c r="C112" s="3">
        <v>21661</v>
      </c>
      <c r="D112" s="4">
        <v>46</v>
      </c>
      <c r="E112" s="13">
        <f t="shared" si="12"/>
        <v>40.606734069882513</v>
      </c>
      <c r="F112" s="13">
        <f t="shared" si="13"/>
        <v>38.529535628208151</v>
      </c>
      <c r="G112" s="13">
        <f t="shared" si="15"/>
        <v>7.4704643717918486</v>
      </c>
      <c r="H112" s="13">
        <f t="shared" si="16"/>
        <v>7.4704643717918486</v>
      </c>
      <c r="I112" s="13">
        <f t="shared" si="17"/>
        <v>55.807837930211377</v>
      </c>
      <c r="J112" s="5">
        <f t="shared" si="18"/>
        <v>0.1624013993867793</v>
      </c>
      <c r="K112" s="8">
        <f t="shared" si="14"/>
        <v>0.94884596140877553</v>
      </c>
    </row>
    <row r="113" spans="1:11" ht="15.75" customHeight="1">
      <c r="A113" s="4" t="str">
        <f t="shared" si="11"/>
        <v>Apr</v>
      </c>
      <c r="B113" s="4">
        <v>112</v>
      </c>
      <c r="C113" s="3">
        <v>21662</v>
      </c>
      <c r="D113" s="4">
        <v>45</v>
      </c>
      <c r="E113" s="13">
        <f t="shared" si="12"/>
        <v>40.625818623325927</v>
      </c>
      <c r="F113" s="13">
        <f t="shared" si="13"/>
        <v>38.547643929668226</v>
      </c>
      <c r="G113" s="13">
        <f t="shared" si="15"/>
        <v>6.4523560703317742</v>
      </c>
      <c r="H113" s="13">
        <f t="shared" si="16"/>
        <v>6.4523560703317742</v>
      </c>
      <c r="I113" s="13">
        <f t="shared" si="17"/>
        <v>41.632898858347296</v>
      </c>
      <c r="J113" s="5">
        <f t="shared" si="18"/>
        <v>0.1433856904518172</v>
      </c>
      <c r="K113" s="8">
        <f t="shared" si="14"/>
        <v>0.94884596140877553</v>
      </c>
    </row>
    <row r="114" spans="1:11" ht="15.75" customHeight="1">
      <c r="A114" s="4" t="str">
        <f t="shared" si="11"/>
        <v>Apr</v>
      </c>
      <c r="B114" s="4">
        <v>113</v>
      </c>
      <c r="C114" s="3">
        <v>21663</v>
      </c>
      <c r="D114" s="4">
        <v>54</v>
      </c>
      <c r="E114" s="13">
        <f t="shared" si="12"/>
        <v>40.64490317676934</v>
      </c>
      <c r="F114" s="13">
        <f t="shared" si="13"/>
        <v>38.5657522311283</v>
      </c>
      <c r="G114" s="13">
        <f t="shared" si="15"/>
        <v>15.4342477688717</v>
      </c>
      <c r="H114" s="13">
        <f t="shared" si="16"/>
        <v>15.4342477688717</v>
      </c>
      <c r="I114" s="13">
        <f t="shared" si="17"/>
        <v>238.21600419092104</v>
      </c>
      <c r="J114" s="5">
        <f t="shared" si="18"/>
        <v>0.28581940312725368</v>
      </c>
      <c r="K114" s="8">
        <f t="shared" si="14"/>
        <v>0.94884596140877553</v>
      </c>
    </row>
    <row r="115" spans="1:11" ht="15.75" customHeight="1">
      <c r="A115" s="4" t="str">
        <f t="shared" si="11"/>
        <v>Apr</v>
      </c>
      <c r="B115" s="4">
        <v>114</v>
      </c>
      <c r="C115" s="3">
        <v>21664</v>
      </c>
      <c r="D115" s="4">
        <v>34</v>
      </c>
      <c r="E115" s="13">
        <f t="shared" si="12"/>
        <v>40.663987730212753</v>
      </c>
      <c r="F115" s="13">
        <f t="shared" si="13"/>
        <v>38.583860532588375</v>
      </c>
      <c r="G115" s="13">
        <f t="shared" si="15"/>
        <v>-4.5838605325883748</v>
      </c>
      <c r="H115" s="13">
        <f t="shared" si="16"/>
        <v>4.5838605325883748</v>
      </c>
      <c r="I115" s="13">
        <f t="shared" si="17"/>
        <v>21.011777382221378</v>
      </c>
      <c r="J115" s="5">
        <f t="shared" si="18"/>
        <v>0.13481942742906985</v>
      </c>
      <c r="K115" s="8">
        <f t="shared" si="14"/>
        <v>0.94884596140877553</v>
      </c>
    </row>
    <row r="116" spans="1:11" ht="15.75" customHeight="1">
      <c r="A116" s="4" t="str">
        <f t="shared" si="11"/>
        <v>Apr</v>
      </c>
      <c r="B116" s="4">
        <v>115</v>
      </c>
      <c r="C116" s="3">
        <v>21665</v>
      </c>
      <c r="D116" s="4">
        <v>37</v>
      </c>
      <c r="E116" s="13">
        <f t="shared" si="12"/>
        <v>40.683072283656166</v>
      </c>
      <c r="F116" s="13">
        <f t="shared" si="13"/>
        <v>38.601968834048442</v>
      </c>
      <c r="G116" s="13">
        <f t="shared" si="15"/>
        <v>-1.6019688340484421</v>
      </c>
      <c r="H116" s="13">
        <f t="shared" si="16"/>
        <v>1.6019688340484421</v>
      </c>
      <c r="I116" s="13">
        <f t="shared" si="17"/>
        <v>2.5663041452625253</v>
      </c>
      <c r="J116" s="5">
        <f t="shared" si="18"/>
        <v>4.3296454974282222E-2</v>
      </c>
      <c r="K116" s="8">
        <f t="shared" si="14"/>
        <v>0.94884596140877553</v>
      </c>
    </row>
    <row r="117" spans="1:11" ht="15.75" customHeight="1">
      <c r="A117" s="4" t="str">
        <f t="shared" si="11"/>
        <v>Apr</v>
      </c>
      <c r="B117" s="4">
        <v>116</v>
      </c>
      <c r="C117" s="3">
        <v>21666</v>
      </c>
      <c r="D117" s="4">
        <v>35</v>
      </c>
      <c r="E117" s="13">
        <f t="shared" si="12"/>
        <v>40.702156837099579</v>
      </c>
      <c r="F117" s="13">
        <f t="shared" si="13"/>
        <v>38.620077135508517</v>
      </c>
      <c r="G117" s="13">
        <f t="shared" si="15"/>
        <v>-3.6200771355085166</v>
      </c>
      <c r="H117" s="13">
        <f t="shared" si="16"/>
        <v>3.6200771355085166</v>
      </c>
      <c r="I117" s="13">
        <f t="shared" si="17"/>
        <v>13.104958467031548</v>
      </c>
      <c r="J117" s="5">
        <f t="shared" si="18"/>
        <v>0.10343077530024333</v>
      </c>
      <c r="K117" s="8">
        <f t="shared" si="14"/>
        <v>0.94884596140877553</v>
      </c>
    </row>
    <row r="118" spans="1:11" ht="15.75" customHeight="1">
      <c r="A118" s="4" t="str">
        <f t="shared" si="11"/>
        <v>Apr</v>
      </c>
      <c r="B118" s="4">
        <v>117</v>
      </c>
      <c r="C118" s="3">
        <v>21667</v>
      </c>
      <c r="D118" s="4">
        <v>40</v>
      </c>
      <c r="E118" s="13">
        <f t="shared" si="12"/>
        <v>40.721241390542993</v>
      </c>
      <c r="F118" s="13">
        <f t="shared" si="13"/>
        <v>38.638185436968591</v>
      </c>
      <c r="G118" s="13">
        <f t="shared" si="15"/>
        <v>1.3618145630314089</v>
      </c>
      <c r="H118" s="13">
        <f t="shared" si="16"/>
        <v>1.3618145630314089</v>
      </c>
      <c r="I118" s="13">
        <f t="shared" si="17"/>
        <v>1.8545389040844271</v>
      </c>
      <c r="J118" s="5">
        <f t="shared" si="18"/>
        <v>3.404536407578522E-2</v>
      </c>
      <c r="K118" s="8">
        <f t="shared" si="14"/>
        <v>0.94884596140877553</v>
      </c>
    </row>
    <row r="119" spans="1:11" ht="15.75" customHeight="1">
      <c r="A119" s="4" t="str">
        <f t="shared" si="11"/>
        <v>Apr</v>
      </c>
      <c r="B119" s="4">
        <v>118</v>
      </c>
      <c r="C119" s="3">
        <v>21668</v>
      </c>
      <c r="D119" s="4">
        <v>42</v>
      </c>
      <c r="E119" s="13">
        <f t="shared" si="12"/>
        <v>40.740325943986406</v>
      </c>
      <c r="F119" s="13">
        <f t="shared" si="13"/>
        <v>38.656293738428658</v>
      </c>
      <c r="G119" s="13">
        <f t="shared" si="15"/>
        <v>3.3437062615713415</v>
      </c>
      <c r="H119" s="13">
        <f t="shared" si="16"/>
        <v>3.3437062615713415</v>
      </c>
      <c r="I119" s="13">
        <f t="shared" si="17"/>
        <v>11.180371563671397</v>
      </c>
      <c r="J119" s="5">
        <f t="shared" si="18"/>
        <v>7.9612053846936703E-2</v>
      </c>
      <c r="K119" s="8">
        <f t="shared" si="14"/>
        <v>0.94884596140877553</v>
      </c>
    </row>
    <row r="120" spans="1:11" ht="15.75" customHeight="1">
      <c r="A120" s="4" t="str">
        <f t="shared" si="11"/>
        <v>Apr</v>
      </c>
      <c r="B120" s="4">
        <v>119</v>
      </c>
      <c r="C120" s="3">
        <v>21669</v>
      </c>
      <c r="D120" s="4">
        <v>58</v>
      </c>
      <c r="E120" s="13">
        <f t="shared" si="12"/>
        <v>40.759410497429812</v>
      </c>
      <c r="F120" s="13">
        <f t="shared" si="13"/>
        <v>38.674402039888726</v>
      </c>
      <c r="G120" s="13">
        <f t="shared" si="15"/>
        <v>19.325597960111274</v>
      </c>
      <c r="H120" s="13">
        <f t="shared" si="16"/>
        <v>19.325597960111274</v>
      </c>
      <c r="I120" s="13">
        <f t="shared" si="17"/>
        <v>373.47873651585707</v>
      </c>
      <c r="J120" s="5">
        <f t="shared" si="18"/>
        <v>0.3331999648295047</v>
      </c>
      <c r="K120" s="8">
        <f t="shared" si="14"/>
        <v>0.94884596140877553</v>
      </c>
    </row>
    <row r="121" spans="1:11" ht="15.75" customHeight="1">
      <c r="A121" s="4" t="str">
        <f t="shared" si="11"/>
        <v>Apr</v>
      </c>
      <c r="B121" s="4">
        <v>120</v>
      </c>
      <c r="C121" s="3">
        <v>21670</v>
      </c>
      <c r="D121" s="4">
        <v>51</v>
      </c>
      <c r="E121" s="13">
        <f t="shared" si="12"/>
        <v>40.778495050873225</v>
      </c>
      <c r="F121" s="13">
        <f t="shared" si="13"/>
        <v>38.6925103413488</v>
      </c>
      <c r="G121" s="13">
        <f t="shared" si="15"/>
        <v>12.3074896586512</v>
      </c>
      <c r="H121" s="13">
        <f t="shared" si="16"/>
        <v>12.3074896586512</v>
      </c>
      <c r="I121" s="13">
        <f t="shared" si="17"/>
        <v>151.47430169780623</v>
      </c>
      <c r="J121" s="5">
        <f t="shared" si="18"/>
        <v>0.2413233266402196</v>
      </c>
      <c r="K121" s="8">
        <f t="shared" si="14"/>
        <v>0.94884596140877553</v>
      </c>
    </row>
    <row r="122" spans="1:11" ht="15.75" customHeight="1">
      <c r="A122" s="4" t="str">
        <f t="shared" si="11"/>
        <v>May</v>
      </c>
      <c r="B122" s="4">
        <v>121</v>
      </c>
      <c r="C122" s="3">
        <v>21671</v>
      </c>
      <c r="D122" s="4">
        <v>32</v>
      </c>
      <c r="E122" s="13">
        <f t="shared" si="12"/>
        <v>40.797579604316638</v>
      </c>
      <c r="F122" s="13">
        <f t="shared" si="13"/>
        <v>37.869424203411889</v>
      </c>
      <c r="G122" s="13">
        <f t="shared" si="15"/>
        <v>-5.8694242034118886</v>
      </c>
      <c r="H122" s="13">
        <f t="shared" si="16"/>
        <v>5.8694242034118886</v>
      </c>
      <c r="I122" s="13">
        <f t="shared" si="17"/>
        <v>34.45014047959728</v>
      </c>
      <c r="J122" s="5">
        <f t="shared" si="18"/>
        <v>0.18341950635662152</v>
      </c>
      <c r="K122" s="8">
        <f t="shared" si="14"/>
        <v>0.92822722746535358</v>
      </c>
    </row>
    <row r="123" spans="1:11" ht="15.75" customHeight="1">
      <c r="A123" s="4" t="str">
        <f t="shared" si="11"/>
        <v>May</v>
      </c>
      <c r="B123" s="4">
        <v>122</v>
      </c>
      <c r="C123" s="3">
        <v>21672</v>
      </c>
      <c r="D123" s="4">
        <v>35</v>
      </c>
      <c r="E123" s="13">
        <f t="shared" si="12"/>
        <v>40.816664157760052</v>
      </c>
      <c r="F123" s="13">
        <f t="shared" si="13"/>
        <v>37.887139005542082</v>
      </c>
      <c r="G123" s="13">
        <f t="shared" si="15"/>
        <v>-2.8871390055420818</v>
      </c>
      <c r="H123" s="13">
        <f t="shared" si="16"/>
        <v>2.8871390055420818</v>
      </c>
      <c r="I123" s="13">
        <f t="shared" si="17"/>
        <v>8.3355716373225217</v>
      </c>
      <c r="J123" s="5">
        <f t="shared" si="18"/>
        <v>8.2489685872630905E-2</v>
      </c>
      <c r="K123" s="8">
        <f t="shared" si="14"/>
        <v>0.92822722746535358</v>
      </c>
    </row>
    <row r="124" spans="1:11" ht="15.75" customHeight="1">
      <c r="A124" s="4" t="str">
        <f t="shared" si="11"/>
        <v>May</v>
      </c>
      <c r="B124" s="4">
        <v>123</v>
      </c>
      <c r="C124" s="3">
        <v>21673</v>
      </c>
      <c r="D124" s="4">
        <v>38</v>
      </c>
      <c r="E124" s="13">
        <f t="shared" si="12"/>
        <v>40.835748711203465</v>
      </c>
      <c r="F124" s="13">
        <f t="shared" si="13"/>
        <v>37.904853807672275</v>
      </c>
      <c r="G124" s="13">
        <f t="shared" si="15"/>
        <v>9.5146192327725032E-2</v>
      </c>
      <c r="H124" s="13">
        <f t="shared" si="16"/>
        <v>9.5146192327725032E-2</v>
      </c>
      <c r="I124" s="13">
        <f t="shared" si="17"/>
        <v>9.0527979144644413E-3</v>
      </c>
      <c r="J124" s="5">
        <f t="shared" si="18"/>
        <v>2.5038471665190798E-3</v>
      </c>
      <c r="K124" s="8">
        <f t="shared" si="14"/>
        <v>0.92822722746535358</v>
      </c>
    </row>
    <row r="125" spans="1:11" ht="15.75" customHeight="1">
      <c r="A125" s="4" t="str">
        <f t="shared" si="11"/>
        <v>May</v>
      </c>
      <c r="B125" s="4">
        <v>124</v>
      </c>
      <c r="C125" s="3">
        <v>21674</v>
      </c>
      <c r="D125" s="4">
        <v>33</v>
      </c>
      <c r="E125" s="13">
        <f t="shared" si="12"/>
        <v>40.854833264646878</v>
      </c>
      <c r="F125" s="13">
        <f t="shared" si="13"/>
        <v>37.922568609802468</v>
      </c>
      <c r="G125" s="13">
        <f t="shared" si="15"/>
        <v>-4.9225686098024681</v>
      </c>
      <c r="H125" s="13">
        <f t="shared" si="16"/>
        <v>4.9225686098024681</v>
      </c>
      <c r="I125" s="13">
        <f t="shared" si="17"/>
        <v>24.231681718212602</v>
      </c>
      <c r="J125" s="5">
        <f t="shared" si="18"/>
        <v>0.14916874575158995</v>
      </c>
      <c r="K125" s="8">
        <f t="shared" si="14"/>
        <v>0.92822722746535358</v>
      </c>
    </row>
    <row r="126" spans="1:11" ht="15.75" customHeight="1">
      <c r="A126" s="4" t="str">
        <f t="shared" si="11"/>
        <v>May</v>
      </c>
      <c r="B126" s="4">
        <v>125</v>
      </c>
      <c r="C126" s="3">
        <v>21675</v>
      </c>
      <c r="D126" s="4">
        <v>39</v>
      </c>
      <c r="E126" s="13">
        <f t="shared" si="12"/>
        <v>40.873917818090291</v>
      </c>
      <c r="F126" s="13">
        <f t="shared" si="13"/>
        <v>37.940283411932668</v>
      </c>
      <c r="G126" s="13">
        <f t="shared" si="15"/>
        <v>1.0597165880673316</v>
      </c>
      <c r="H126" s="13">
        <f t="shared" si="16"/>
        <v>1.0597165880673316</v>
      </c>
      <c r="I126" s="13">
        <f t="shared" si="17"/>
        <v>1.1229992470250665</v>
      </c>
      <c r="J126" s="5">
        <f t="shared" si="18"/>
        <v>2.7172220206854655E-2</v>
      </c>
      <c r="K126" s="8">
        <f t="shared" si="14"/>
        <v>0.92822722746535358</v>
      </c>
    </row>
    <row r="127" spans="1:11" ht="15.75" customHeight="1">
      <c r="A127" s="4" t="str">
        <f t="shared" si="11"/>
        <v>May</v>
      </c>
      <c r="B127" s="4">
        <v>126</v>
      </c>
      <c r="C127" s="3">
        <v>21676</v>
      </c>
      <c r="D127" s="4">
        <v>47</v>
      </c>
      <c r="E127" s="13">
        <f t="shared" si="12"/>
        <v>40.893002371533704</v>
      </c>
      <c r="F127" s="13">
        <f t="shared" si="13"/>
        <v>37.957998214062862</v>
      </c>
      <c r="G127" s="13">
        <f t="shared" si="15"/>
        <v>9.0420017859371384</v>
      </c>
      <c r="H127" s="13">
        <f t="shared" si="16"/>
        <v>9.0420017859371384</v>
      </c>
      <c r="I127" s="13">
        <f t="shared" si="17"/>
        <v>81.757796296890405</v>
      </c>
      <c r="J127" s="5">
        <f t="shared" si="18"/>
        <v>0.19238301672206679</v>
      </c>
      <c r="K127" s="8">
        <f t="shared" si="14"/>
        <v>0.92822722746535358</v>
      </c>
    </row>
    <row r="128" spans="1:11" ht="15.75" customHeight="1">
      <c r="A128" s="4" t="str">
        <f t="shared" si="11"/>
        <v>May</v>
      </c>
      <c r="B128" s="4">
        <v>127</v>
      </c>
      <c r="C128" s="3">
        <v>21677</v>
      </c>
      <c r="D128" s="4">
        <v>38</v>
      </c>
      <c r="E128" s="13">
        <f t="shared" si="12"/>
        <v>40.912086924977118</v>
      </c>
      <c r="F128" s="13">
        <f t="shared" si="13"/>
        <v>37.975713016193055</v>
      </c>
      <c r="G128" s="13">
        <f t="shared" si="15"/>
        <v>2.4286983806945273E-2</v>
      </c>
      <c r="H128" s="13">
        <f t="shared" si="16"/>
        <v>2.4286983806945273E-2</v>
      </c>
      <c r="I128" s="13">
        <f t="shared" si="17"/>
        <v>5.8985758243882184E-4</v>
      </c>
      <c r="J128" s="5">
        <f t="shared" si="18"/>
        <v>6.3913115281434931E-4</v>
      </c>
      <c r="K128" s="8">
        <f t="shared" si="14"/>
        <v>0.92822722746535358</v>
      </c>
    </row>
    <row r="129" spans="1:11" ht="15.75" customHeight="1">
      <c r="A129" s="4" t="str">
        <f t="shared" si="11"/>
        <v>May</v>
      </c>
      <c r="B129" s="4">
        <v>128</v>
      </c>
      <c r="C129" s="3">
        <v>21678</v>
      </c>
      <c r="D129" s="4">
        <v>52</v>
      </c>
      <c r="E129" s="13">
        <f t="shared" si="12"/>
        <v>40.931171478420531</v>
      </c>
      <c r="F129" s="13">
        <f t="shared" si="13"/>
        <v>37.993427818323248</v>
      </c>
      <c r="G129" s="13">
        <f t="shared" si="15"/>
        <v>14.006572181676752</v>
      </c>
      <c r="H129" s="13">
        <f t="shared" si="16"/>
        <v>14.006572181676752</v>
      </c>
      <c r="I129" s="13">
        <f t="shared" si="17"/>
        <v>196.18406428052106</v>
      </c>
      <c r="J129" s="5">
        <f t="shared" si="18"/>
        <v>0.26935715733993754</v>
      </c>
      <c r="K129" s="8">
        <f t="shared" si="14"/>
        <v>0.92822722746535358</v>
      </c>
    </row>
    <row r="130" spans="1:11" ht="15.75" customHeight="1">
      <c r="A130" s="4" t="str">
        <f t="shared" ref="A130:A193" si="19">IF(MONTH(C130)=1, "Jan",  IF(MONTH(C130) = 2, "Feb", IF(MONTH(C130) = 3, "Mar", IF(MONTH(C130) = 4, "Apr", IF(MONTH(C130) = 5, "May", IF(MONTH(C130) = 6, "Jun", IF(MONTH(C130) = 7, "Jul", IF(MONTH(C130) = 8, "Aug", IF(MONTH(C130) = 9, "Sep", IF(MONTH(C130) = 10, "Oct", IF(MONTH(C130) = 11, "Nov", "Dec")))))))))))</f>
        <v>May</v>
      </c>
      <c r="B130" s="4">
        <v>129</v>
      </c>
      <c r="C130" s="3">
        <v>21679</v>
      </c>
      <c r="D130" s="4">
        <v>30</v>
      </c>
      <c r="E130" s="13">
        <f t="shared" ref="E130:E193" si="20">$O$2+($O$3*B130)</f>
        <v>40.950256031863944</v>
      </c>
      <c r="F130" s="13">
        <f t="shared" ref="F130:F193" si="21">E130*K130</f>
        <v>38.011142620453441</v>
      </c>
      <c r="G130" s="13">
        <f t="shared" si="15"/>
        <v>-8.0111426204534411</v>
      </c>
      <c r="H130" s="13">
        <f t="shared" si="16"/>
        <v>8.0111426204534411</v>
      </c>
      <c r="I130" s="13">
        <f t="shared" si="17"/>
        <v>64.178406085245626</v>
      </c>
      <c r="J130" s="5">
        <f t="shared" si="18"/>
        <v>0.26703808734844803</v>
      </c>
      <c r="K130" s="8">
        <f t="shared" ref="K130:K193" si="22">VLOOKUP(A130,$V$7:$Y$19,4,FALSE)</f>
        <v>0.92822722746535358</v>
      </c>
    </row>
    <row r="131" spans="1:11" ht="15.75" customHeight="1">
      <c r="A131" s="4" t="str">
        <f t="shared" si="19"/>
        <v>May</v>
      </c>
      <c r="B131" s="4">
        <v>130</v>
      </c>
      <c r="C131" s="3">
        <v>21680</v>
      </c>
      <c r="D131" s="4">
        <v>34</v>
      </c>
      <c r="E131" s="13">
        <f t="shared" si="20"/>
        <v>40.96934058530735</v>
      </c>
      <c r="F131" s="13">
        <f t="shared" si="21"/>
        <v>38.028857422583627</v>
      </c>
      <c r="G131" s="13">
        <f t="shared" ref="G131:G194" si="23">D131-F131</f>
        <v>-4.0288574225836271</v>
      </c>
      <c r="H131" s="13">
        <f t="shared" ref="H131:H194" si="24">ABS(G131)</f>
        <v>4.0288574225836271</v>
      </c>
      <c r="I131" s="13">
        <f t="shared" ref="I131:I194" si="25">H131^2</f>
        <v>16.231692131507188</v>
      </c>
      <c r="J131" s="5">
        <f t="shared" ref="J131:J194" si="26">H131/D131</f>
        <v>0.11849580654657726</v>
      </c>
      <c r="K131" s="8">
        <f t="shared" si="22"/>
        <v>0.92822722746535358</v>
      </c>
    </row>
    <row r="132" spans="1:11" ht="15.75" customHeight="1">
      <c r="A132" s="4" t="str">
        <f t="shared" si="19"/>
        <v>May</v>
      </c>
      <c r="B132" s="4">
        <v>131</v>
      </c>
      <c r="C132" s="3">
        <v>21681</v>
      </c>
      <c r="D132" s="4">
        <v>40</v>
      </c>
      <c r="E132" s="13">
        <f t="shared" si="20"/>
        <v>40.988425138750763</v>
      </c>
      <c r="F132" s="13">
        <f t="shared" si="21"/>
        <v>38.04657222471382</v>
      </c>
      <c r="G132" s="13">
        <f t="shared" si="23"/>
        <v>1.9534277752861797</v>
      </c>
      <c r="H132" s="13">
        <f t="shared" si="24"/>
        <v>1.9534277752861797</v>
      </c>
      <c r="I132" s="13">
        <f t="shared" si="25"/>
        <v>3.8158800732595135</v>
      </c>
      <c r="J132" s="5">
        <f t="shared" si="26"/>
        <v>4.8835694382154494E-2</v>
      </c>
      <c r="K132" s="8">
        <f t="shared" si="22"/>
        <v>0.92822722746535358</v>
      </c>
    </row>
    <row r="133" spans="1:11" ht="15.75" customHeight="1">
      <c r="A133" s="4" t="str">
        <f t="shared" si="19"/>
        <v>May</v>
      </c>
      <c r="B133" s="4">
        <v>132</v>
      </c>
      <c r="C133" s="3">
        <v>21682</v>
      </c>
      <c r="D133" s="4">
        <v>35</v>
      </c>
      <c r="E133" s="13">
        <f t="shared" si="20"/>
        <v>41.007509692194176</v>
      </c>
      <c r="F133" s="13">
        <f t="shared" si="21"/>
        <v>38.064287026844013</v>
      </c>
      <c r="G133" s="13">
        <f t="shared" si="23"/>
        <v>-3.0642870268440134</v>
      </c>
      <c r="H133" s="13">
        <f t="shared" si="24"/>
        <v>3.0642870268440134</v>
      </c>
      <c r="I133" s="13">
        <f t="shared" si="25"/>
        <v>9.3898549828845237</v>
      </c>
      <c r="J133" s="5">
        <f t="shared" si="26"/>
        <v>8.755105790982895E-2</v>
      </c>
      <c r="K133" s="8">
        <f t="shared" si="22"/>
        <v>0.92822722746535358</v>
      </c>
    </row>
    <row r="134" spans="1:11" ht="15.75" customHeight="1">
      <c r="A134" s="4" t="str">
        <f t="shared" si="19"/>
        <v>May</v>
      </c>
      <c r="B134" s="4">
        <v>133</v>
      </c>
      <c r="C134" s="3">
        <v>21683</v>
      </c>
      <c r="D134" s="4">
        <v>42</v>
      </c>
      <c r="E134" s="13">
        <f t="shared" si="20"/>
        <v>41.02659424563759</v>
      </c>
      <c r="F134" s="13">
        <f t="shared" si="21"/>
        <v>38.082001828974207</v>
      </c>
      <c r="G134" s="13">
        <f t="shared" si="23"/>
        <v>3.9179981710257934</v>
      </c>
      <c r="H134" s="13">
        <f t="shared" si="24"/>
        <v>3.9179981710257934</v>
      </c>
      <c r="I134" s="13">
        <f t="shared" si="25"/>
        <v>15.350709668161462</v>
      </c>
      <c r="J134" s="5">
        <f t="shared" si="26"/>
        <v>9.3285670738709373E-2</v>
      </c>
      <c r="K134" s="8">
        <f t="shared" si="22"/>
        <v>0.92822722746535358</v>
      </c>
    </row>
    <row r="135" spans="1:11" ht="15.75" customHeight="1">
      <c r="A135" s="4" t="str">
        <f t="shared" si="19"/>
        <v>May</v>
      </c>
      <c r="B135" s="4">
        <v>134</v>
      </c>
      <c r="C135" s="3">
        <v>21684</v>
      </c>
      <c r="D135" s="4">
        <v>41</v>
      </c>
      <c r="E135" s="13">
        <f t="shared" si="20"/>
        <v>41.045678799081003</v>
      </c>
      <c r="F135" s="13">
        <f t="shared" si="21"/>
        <v>38.0997166311044</v>
      </c>
      <c r="G135" s="13">
        <f t="shared" si="23"/>
        <v>2.9002833688956002</v>
      </c>
      <c r="H135" s="13">
        <f t="shared" si="24"/>
        <v>2.9002833688956002</v>
      </c>
      <c r="I135" s="13">
        <f t="shared" si="25"/>
        <v>8.4116436198924127</v>
      </c>
      <c r="J135" s="5">
        <f t="shared" si="26"/>
        <v>7.0738618753551225E-2</v>
      </c>
      <c r="K135" s="8">
        <f t="shared" si="22"/>
        <v>0.92822722746535358</v>
      </c>
    </row>
    <row r="136" spans="1:11" ht="15.75" customHeight="1">
      <c r="A136" s="4" t="str">
        <f t="shared" si="19"/>
        <v>May</v>
      </c>
      <c r="B136" s="4">
        <v>135</v>
      </c>
      <c r="C136" s="3">
        <v>21685</v>
      </c>
      <c r="D136" s="4">
        <v>42</v>
      </c>
      <c r="E136" s="13">
        <f t="shared" si="20"/>
        <v>41.064763352524416</v>
      </c>
      <c r="F136" s="13">
        <f t="shared" si="21"/>
        <v>38.1174314332346</v>
      </c>
      <c r="G136" s="13">
        <f t="shared" si="23"/>
        <v>3.8825685667654</v>
      </c>
      <c r="H136" s="13">
        <f t="shared" si="24"/>
        <v>3.8825685667654</v>
      </c>
      <c r="I136" s="13">
        <f t="shared" si="25"/>
        <v>15.074338675634731</v>
      </c>
      <c r="J136" s="5">
        <f t="shared" si="26"/>
        <v>9.244210873250952E-2</v>
      </c>
      <c r="K136" s="8">
        <f t="shared" si="22"/>
        <v>0.92822722746535358</v>
      </c>
    </row>
    <row r="137" spans="1:11" ht="15.75" customHeight="1">
      <c r="A137" s="4" t="str">
        <f t="shared" si="19"/>
        <v>May</v>
      </c>
      <c r="B137" s="4">
        <v>136</v>
      </c>
      <c r="C137" s="3">
        <v>21686</v>
      </c>
      <c r="D137" s="4">
        <v>38</v>
      </c>
      <c r="E137" s="13">
        <f t="shared" si="20"/>
        <v>41.083847905967829</v>
      </c>
      <c r="F137" s="13">
        <f t="shared" si="21"/>
        <v>38.135146235364793</v>
      </c>
      <c r="G137" s="13">
        <f t="shared" si="23"/>
        <v>-0.1351462353647932</v>
      </c>
      <c r="H137" s="13">
        <f t="shared" si="24"/>
        <v>0.1351462353647932</v>
      </c>
      <c r="I137" s="13">
        <f t="shared" si="25"/>
        <v>1.8264504933276079E-2</v>
      </c>
      <c r="J137" s="5">
        <f t="shared" si="26"/>
        <v>3.5564798780208739E-3</v>
      </c>
      <c r="K137" s="8">
        <f t="shared" si="22"/>
        <v>0.92822722746535358</v>
      </c>
    </row>
    <row r="138" spans="1:11" ht="15.75" customHeight="1">
      <c r="A138" s="4" t="str">
        <f t="shared" si="19"/>
        <v>May</v>
      </c>
      <c r="B138" s="4">
        <v>137</v>
      </c>
      <c r="C138" s="3">
        <v>21687</v>
      </c>
      <c r="D138" s="4">
        <v>24</v>
      </c>
      <c r="E138" s="13">
        <f t="shared" si="20"/>
        <v>41.102932459411242</v>
      </c>
      <c r="F138" s="13">
        <f t="shared" si="21"/>
        <v>38.152861037494986</v>
      </c>
      <c r="G138" s="13">
        <f t="shared" si="23"/>
        <v>-14.152861037494986</v>
      </c>
      <c r="H138" s="13">
        <f t="shared" si="24"/>
        <v>14.152861037494986</v>
      </c>
      <c r="I138" s="13">
        <f t="shared" si="25"/>
        <v>200.30347554664365</v>
      </c>
      <c r="J138" s="5">
        <f t="shared" si="26"/>
        <v>0.58970254322895777</v>
      </c>
      <c r="K138" s="8">
        <f t="shared" si="22"/>
        <v>0.92822722746535358</v>
      </c>
    </row>
    <row r="139" spans="1:11" ht="15.75" customHeight="1">
      <c r="A139" s="4" t="str">
        <f t="shared" si="19"/>
        <v>May</v>
      </c>
      <c r="B139" s="4">
        <v>138</v>
      </c>
      <c r="C139" s="3">
        <v>21688</v>
      </c>
      <c r="D139" s="4">
        <v>34</v>
      </c>
      <c r="E139" s="13">
        <f t="shared" si="20"/>
        <v>41.122017012854656</v>
      </c>
      <c r="F139" s="13">
        <f t="shared" si="21"/>
        <v>38.17057583962518</v>
      </c>
      <c r="G139" s="13">
        <f t="shared" si="23"/>
        <v>-4.1705758396251795</v>
      </c>
      <c r="H139" s="13">
        <f t="shared" si="24"/>
        <v>4.1705758396251795</v>
      </c>
      <c r="I139" s="13">
        <f t="shared" si="25"/>
        <v>17.39370283406527</v>
      </c>
      <c r="J139" s="5">
        <f t="shared" si="26"/>
        <v>0.12266399528309352</v>
      </c>
      <c r="K139" s="8">
        <f t="shared" si="22"/>
        <v>0.92822722746535358</v>
      </c>
    </row>
    <row r="140" spans="1:11" ht="15.75" customHeight="1">
      <c r="A140" s="4" t="str">
        <f t="shared" si="19"/>
        <v>May</v>
      </c>
      <c r="B140" s="4">
        <v>139</v>
      </c>
      <c r="C140" s="3">
        <v>21689</v>
      </c>
      <c r="D140" s="4">
        <v>43</v>
      </c>
      <c r="E140" s="13">
        <f t="shared" si="20"/>
        <v>41.141101566298069</v>
      </c>
      <c r="F140" s="13">
        <f t="shared" si="21"/>
        <v>38.188290641755373</v>
      </c>
      <c r="G140" s="13">
        <f t="shared" si="23"/>
        <v>4.8117093582446273</v>
      </c>
      <c r="H140" s="13">
        <f t="shared" si="24"/>
        <v>4.8117093582446273</v>
      </c>
      <c r="I140" s="13">
        <f t="shared" si="25"/>
        <v>23.152546948218923</v>
      </c>
      <c r="J140" s="5">
        <f t="shared" si="26"/>
        <v>0.11190021763359598</v>
      </c>
      <c r="K140" s="8">
        <f t="shared" si="22"/>
        <v>0.92822722746535358</v>
      </c>
    </row>
    <row r="141" spans="1:11" ht="15.75" customHeight="1">
      <c r="A141" s="4" t="str">
        <f t="shared" si="19"/>
        <v>May</v>
      </c>
      <c r="B141" s="4">
        <v>140</v>
      </c>
      <c r="C141" s="3">
        <v>21690</v>
      </c>
      <c r="D141" s="4">
        <v>36</v>
      </c>
      <c r="E141" s="13">
        <f t="shared" si="20"/>
        <v>41.160186119741482</v>
      </c>
      <c r="F141" s="13">
        <f t="shared" si="21"/>
        <v>38.206005443885566</v>
      </c>
      <c r="G141" s="13">
        <f t="shared" si="23"/>
        <v>-2.2060054438855659</v>
      </c>
      <c r="H141" s="13">
        <f t="shared" si="24"/>
        <v>2.2060054438855659</v>
      </c>
      <c r="I141" s="13">
        <f t="shared" si="25"/>
        <v>4.8664600184527522</v>
      </c>
      <c r="J141" s="5">
        <f t="shared" si="26"/>
        <v>6.1277928996821274E-2</v>
      </c>
      <c r="K141" s="8">
        <f t="shared" si="22"/>
        <v>0.92822722746535358</v>
      </c>
    </row>
    <row r="142" spans="1:11" ht="15.75" customHeight="1">
      <c r="A142" s="4" t="str">
        <f t="shared" si="19"/>
        <v>May</v>
      </c>
      <c r="B142" s="4">
        <v>141</v>
      </c>
      <c r="C142" s="3">
        <v>21691</v>
      </c>
      <c r="D142" s="4">
        <v>55</v>
      </c>
      <c r="E142" s="13">
        <f t="shared" si="20"/>
        <v>41.179270673184895</v>
      </c>
      <c r="F142" s="13">
        <f t="shared" si="21"/>
        <v>38.223720246015759</v>
      </c>
      <c r="G142" s="13">
        <f t="shared" si="23"/>
        <v>16.776279753984241</v>
      </c>
      <c r="H142" s="13">
        <f t="shared" si="24"/>
        <v>16.776279753984241</v>
      </c>
      <c r="I142" s="13">
        <f t="shared" si="25"/>
        <v>281.44356238394153</v>
      </c>
      <c r="J142" s="5">
        <f t="shared" si="26"/>
        <v>0.30502326825425891</v>
      </c>
      <c r="K142" s="8">
        <f t="shared" si="22"/>
        <v>0.92822722746535358</v>
      </c>
    </row>
    <row r="143" spans="1:11" ht="15.75" customHeight="1">
      <c r="A143" s="4" t="str">
        <f t="shared" si="19"/>
        <v>May</v>
      </c>
      <c r="B143" s="4">
        <v>142</v>
      </c>
      <c r="C143" s="3">
        <v>21692</v>
      </c>
      <c r="D143" s="4">
        <v>41</v>
      </c>
      <c r="E143" s="13">
        <f t="shared" si="20"/>
        <v>41.198355226628308</v>
      </c>
      <c r="F143" s="13">
        <f t="shared" si="21"/>
        <v>38.241435048145952</v>
      </c>
      <c r="G143" s="13">
        <f t="shared" si="23"/>
        <v>2.7585649518540478</v>
      </c>
      <c r="H143" s="13">
        <f t="shared" si="24"/>
        <v>2.7585649518540478</v>
      </c>
      <c r="I143" s="13">
        <f t="shared" si="25"/>
        <v>7.6096805935975249</v>
      </c>
      <c r="J143" s="5">
        <f t="shared" si="26"/>
        <v>6.7282071996440193E-2</v>
      </c>
      <c r="K143" s="8">
        <f t="shared" si="22"/>
        <v>0.92822722746535358</v>
      </c>
    </row>
    <row r="144" spans="1:11" ht="15.75" customHeight="1">
      <c r="A144" s="4" t="str">
        <f t="shared" si="19"/>
        <v>May</v>
      </c>
      <c r="B144" s="4">
        <v>143</v>
      </c>
      <c r="C144" s="3">
        <v>21693</v>
      </c>
      <c r="D144" s="4">
        <v>45</v>
      </c>
      <c r="E144" s="13">
        <f t="shared" si="20"/>
        <v>41.217439780071714</v>
      </c>
      <c r="F144" s="13">
        <f t="shared" si="21"/>
        <v>38.259149850276138</v>
      </c>
      <c r="G144" s="13">
        <f t="shared" si="23"/>
        <v>6.7408501497238618</v>
      </c>
      <c r="H144" s="13">
        <f t="shared" si="24"/>
        <v>6.7408501497238618</v>
      </c>
      <c r="I144" s="13">
        <f t="shared" si="25"/>
        <v>45.439060741032208</v>
      </c>
      <c r="J144" s="5">
        <f t="shared" si="26"/>
        <v>0.1497966699938636</v>
      </c>
      <c r="K144" s="8">
        <f t="shared" si="22"/>
        <v>0.92822722746535358</v>
      </c>
    </row>
    <row r="145" spans="1:11" ht="15.75" customHeight="1">
      <c r="A145" s="4" t="str">
        <f t="shared" si="19"/>
        <v>May</v>
      </c>
      <c r="B145" s="4">
        <v>144</v>
      </c>
      <c r="C145" s="3">
        <v>21694</v>
      </c>
      <c r="D145" s="4">
        <v>41</v>
      </c>
      <c r="E145" s="13">
        <f t="shared" si="20"/>
        <v>41.236524333515128</v>
      </c>
      <c r="F145" s="13">
        <f t="shared" si="21"/>
        <v>38.276864652406331</v>
      </c>
      <c r="G145" s="13">
        <f t="shared" si="23"/>
        <v>2.7231353475936686</v>
      </c>
      <c r="H145" s="13">
        <f t="shared" si="24"/>
        <v>2.7231353475936686</v>
      </c>
      <c r="I145" s="13">
        <f t="shared" si="25"/>
        <v>7.4154661213140907</v>
      </c>
      <c r="J145" s="5">
        <f t="shared" si="26"/>
        <v>6.6417935307162654E-2</v>
      </c>
      <c r="K145" s="8">
        <f t="shared" si="22"/>
        <v>0.92822722746535358</v>
      </c>
    </row>
    <row r="146" spans="1:11" ht="15.75" customHeight="1">
      <c r="A146" s="4" t="str">
        <f t="shared" si="19"/>
        <v>May</v>
      </c>
      <c r="B146" s="4">
        <v>145</v>
      </c>
      <c r="C146" s="3">
        <v>21695</v>
      </c>
      <c r="D146" s="4">
        <v>37</v>
      </c>
      <c r="E146" s="13">
        <f t="shared" si="20"/>
        <v>41.255608886958541</v>
      </c>
      <c r="F146" s="13">
        <f t="shared" si="21"/>
        <v>38.294579454536525</v>
      </c>
      <c r="G146" s="13">
        <f t="shared" si="23"/>
        <v>-1.2945794545365246</v>
      </c>
      <c r="H146" s="13">
        <f t="shared" si="24"/>
        <v>1.2945794545365246</v>
      </c>
      <c r="I146" s="13">
        <f t="shared" si="25"/>
        <v>1.6759359641080855</v>
      </c>
      <c r="J146" s="5">
        <f t="shared" si="26"/>
        <v>3.4988633906392556E-2</v>
      </c>
      <c r="K146" s="8">
        <f t="shared" si="22"/>
        <v>0.92822722746535358</v>
      </c>
    </row>
    <row r="147" spans="1:11" ht="15.75" customHeight="1">
      <c r="A147" s="4" t="str">
        <f t="shared" si="19"/>
        <v>May</v>
      </c>
      <c r="B147" s="4">
        <v>146</v>
      </c>
      <c r="C147" s="3">
        <v>21696</v>
      </c>
      <c r="D147" s="4">
        <v>43</v>
      </c>
      <c r="E147" s="13">
        <f t="shared" si="20"/>
        <v>41.274693440401954</v>
      </c>
      <c r="F147" s="13">
        <f t="shared" si="21"/>
        <v>38.312294256666725</v>
      </c>
      <c r="G147" s="13">
        <f t="shared" si="23"/>
        <v>4.6877057433332752</v>
      </c>
      <c r="H147" s="13">
        <f t="shared" si="24"/>
        <v>4.6877057433332752</v>
      </c>
      <c r="I147" s="13">
        <f t="shared" si="25"/>
        <v>21.974585136079774</v>
      </c>
      <c r="J147" s="5">
        <f t="shared" si="26"/>
        <v>0.10901641263565756</v>
      </c>
      <c r="K147" s="8">
        <f t="shared" si="22"/>
        <v>0.92822722746535358</v>
      </c>
    </row>
    <row r="148" spans="1:11" ht="15.75" customHeight="1">
      <c r="A148" s="4" t="str">
        <f t="shared" si="19"/>
        <v>May</v>
      </c>
      <c r="B148" s="4">
        <v>147</v>
      </c>
      <c r="C148" s="3">
        <v>21697</v>
      </c>
      <c r="D148" s="4">
        <v>39</v>
      </c>
      <c r="E148" s="13">
        <f t="shared" si="20"/>
        <v>41.293777993845367</v>
      </c>
      <c r="F148" s="13">
        <f t="shared" si="21"/>
        <v>38.330009058796918</v>
      </c>
      <c r="G148" s="13">
        <f t="shared" si="23"/>
        <v>0.669990941203082</v>
      </c>
      <c r="H148" s="13">
        <f t="shared" si="24"/>
        <v>0.669990941203082</v>
      </c>
      <c r="I148" s="13">
        <f t="shared" si="25"/>
        <v>0.44888786129419167</v>
      </c>
      <c r="J148" s="5">
        <f t="shared" si="26"/>
        <v>1.7179254902643128E-2</v>
      </c>
      <c r="K148" s="8">
        <f t="shared" si="22"/>
        <v>0.92822722746535358</v>
      </c>
    </row>
    <row r="149" spans="1:11" ht="15.75" customHeight="1">
      <c r="A149" s="4" t="str">
        <f t="shared" si="19"/>
        <v>May</v>
      </c>
      <c r="B149" s="4">
        <v>148</v>
      </c>
      <c r="C149" s="3">
        <v>21698</v>
      </c>
      <c r="D149" s="4">
        <v>33</v>
      </c>
      <c r="E149" s="13">
        <f t="shared" si="20"/>
        <v>41.31286254728878</v>
      </c>
      <c r="F149" s="13">
        <f t="shared" si="21"/>
        <v>38.347723860927111</v>
      </c>
      <c r="G149" s="13">
        <f t="shared" si="23"/>
        <v>-5.3477238609271112</v>
      </c>
      <c r="H149" s="13">
        <f t="shared" si="24"/>
        <v>5.3477238609271112</v>
      </c>
      <c r="I149" s="13">
        <f t="shared" si="25"/>
        <v>28.598150492729168</v>
      </c>
      <c r="J149" s="5">
        <f t="shared" si="26"/>
        <v>0.16205223820991246</v>
      </c>
      <c r="K149" s="8">
        <f t="shared" si="22"/>
        <v>0.92822722746535358</v>
      </c>
    </row>
    <row r="150" spans="1:11" ht="15.75" customHeight="1">
      <c r="A150" s="4" t="str">
        <f t="shared" si="19"/>
        <v>May</v>
      </c>
      <c r="B150" s="4">
        <v>149</v>
      </c>
      <c r="C150" s="3">
        <v>21699</v>
      </c>
      <c r="D150" s="4">
        <v>43</v>
      </c>
      <c r="E150" s="13">
        <f t="shared" si="20"/>
        <v>41.331947100732194</v>
      </c>
      <c r="F150" s="13">
        <f t="shared" si="21"/>
        <v>38.365438663057304</v>
      </c>
      <c r="G150" s="13">
        <f t="shared" si="23"/>
        <v>4.6345613369426957</v>
      </c>
      <c r="H150" s="13">
        <f t="shared" si="24"/>
        <v>4.6345613369426957</v>
      </c>
      <c r="I150" s="13">
        <f t="shared" si="25"/>
        <v>21.479158785884067</v>
      </c>
      <c r="J150" s="5">
        <f t="shared" si="26"/>
        <v>0.10778049620796967</v>
      </c>
      <c r="K150" s="8">
        <f t="shared" si="22"/>
        <v>0.92822722746535358</v>
      </c>
    </row>
    <row r="151" spans="1:11" ht="15.75" customHeight="1">
      <c r="A151" s="4" t="str">
        <f t="shared" si="19"/>
        <v>May</v>
      </c>
      <c r="B151" s="4">
        <v>150</v>
      </c>
      <c r="C151" s="3">
        <v>21700</v>
      </c>
      <c r="D151" s="4">
        <v>40</v>
      </c>
      <c r="E151" s="13">
        <f t="shared" si="20"/>
        <v>41.351031654175607</v>
      </c>
      <c r="F151" s="13">
        <f t="shared" si="21"/>
        <v>38.383153465187497</v>
      </c>
      <c r="G151" s="13">
        <f t="shared" si="23"/>
        <v>1.6168465348125025</v>
      </c>
      <c r="H151" s="13">
        <f t="shared" si="24"/>
        <v>1.6168465348125025</v>
      </c>
      <c r="I151" s="13">
        <f t="shared" si="25"/>
        <v>2.6141927171351971</v>
      </c>
      <c r="J151" s="5">
        <f t="shared" si="26"/>
        <v>4.0421163370312561E-2</v>
      </c>
      <c r="K151" s="8">
        <f t="shared" si="22"/>
        <v>0.92822722746535358</v>
      </c>
    </row>
    <row r="152" spans="1:11" ht="15.75" customHeight="1">
      <c r="A152" s="4" t="str">
        <f t="shared" si="19"/>
        <v>May</v>
      </c>
      <c r="B152" s="4">
        <v>151</v>
      </c>
      <c r="C152" s="3">
        <v>21701</v>
      </c>
      <c r="D152" s="4">
        <v>38</v>
      </c>
      <c r="E152" s="13">
        <f t="shared" si="20"/>
        <v>41.37011620761902</v>
      </c>
      <c r="F152" s="13">
        <f t="shared" si="21"/>
        <v>38.400868267317691</v>
      </c>
      <c r="G152" s="13">
        <f t="shared" si="23"/>
        <v>-0.40086826731769065</v>
      </c>
      <c r="H152" s="13">
        <f t="shared" si="24"/>
        <v>0.40086826731769065</v>
      </c>
      <c r="I152" s="13">
        <f t="shared" si="25"/>
        <v>0.16069536774228749</v>
      </c>
      <c r="J152" s="5">
        <f t="shared" si="26"/>
        <v>1.0549164929412913E-2</v>
      </c>
      <c r="K152" s="8">
        <f t="shared" si="22"/>
        <v>0.92822722746535358</v>
      </c>
    </row>
    <row r="153" spans="1:11" ht="15.75" customHeight="1">
      <c r="A153" s="4" t="str">
        <f t="shared" si="19"/>
        <v>Jun</v>
      </c>
      <c r="B153" s="4">
        <v>152</v>
      </c>
      <c r="C153" s="3">
        <v>21702</v>
      </c>
      <c r="D153" s="4">
        <v>45</v>
      </c>
      <c r="E153" s="13">
        <f t="shared" si="20"/>
        <v>41.389200761062433</v>
      </c>
      <c r="F153" s="13">
        <f t="shared" si="21"/>
        <v>39.830656818026931</v>
      </c>
      <c r="G153" s="13">
        <f t="shared" si="23"/>
        <v>5.1693431819730691</v>
      </c>
      <c r="H153" s="13">
        <f t="shared" si="24"/>
        <v>5.1693431819730691</v>
      </c>
      <c r="I153" s="13">
        <f t="shared" si="25"/>
        <v>26.722108933011455</v>
      </c>
      <c r="J153" s="5">
        <f t="shared" si="26"/>
        <v>0.11487429293273486</v>
      </c>
      <c r="K153" s="8">
        <f t="shared" si="22"/>
        <v>0.96234418847484171</v>
      </c>
    </row>
    <row r="154" spans="1:11" ht="15.75" customHeight="1">
      <c r="A154" s="4" t="str">
        <f t="shared" si="19"/>
        <v>Jun</v>
      </c>
      <c r="B154" s="4">
        <v>153</v>
      </c>
      <c r="C154" s="3">
        <v>21703</v>
      </c>
      <c r="D154" s="4">
        <v>46</v>
      </c>
      <c r="E154" s="13">
        <f t="shared" si="20"/>
        <v>41.408285314505846</v>
      </c>
      <c r="F154" s="13">
        <f t="shared" si="21"/>
        <v>39.849022727122836</v>
      </c>
      <c r="G154" s="13">
        <f t="shared" si="23"/>
        <v>6.1509772728771637</v>
      </c>
      <c r="H154" s="13">
        <f t="shared" si="24"/>
        <v>6.1509772728771637</v>
      </c>
      <c r="I154" s="13">
        <f t="shared" si="25"/>
        <v>37.834521411451391</v>
      </c>
      <c r="J154" s="5">
        <f t="shared" si="26"/>
        <v>0.13371689723646007</v>
      </c>
      <c r="K154" s="8">
        <f t="shared" si="22"/>
        <v>0.96234418847484171</v>
      </c>
    </row>
    <row r="155" spans="1:11" ht="15.75" customHeight="1">
      <c r="A155" s="4" t="str">
        <f t="shared" si="19"/>
        <v>Jun</v>
      </c>
      <c r="B155" s="4">
        <v>154</v>
      </c>
      <c r="C155" s="3">
        <v>21704</v>
      </c>
      <c r="D155" s="4">
        <v>34</v>
      </c>
      <c r="E155" s="13">
        <f t="shared" si="20"/>
        <v>41.42736986794926</v>
      </c>
      <c r="F155" s="13">
        <f t="shared" si="21"/>
        <v>39.867388636218742</v>
      </c>
      <c r="G155" s="13">
        <f t="shared" si="23"/>
        <v>-5.8673886362187417</v>
      </c>
      <c r="H155" s="13">
        <f t="shared" si="24"/>
        <v>5.8673886362187417</v>
      </c>
      <c r="I155" s="13">
        <f t="shared" si="25"/>
        <v>34.426249408428824</v>
      </c>
      <c r="J155" s="5">
        <f t="shared" si="26"/>
        <v>0.17257025400643358</v>
      </c>
      <c r="K155" s="8">
        <f t="shared" si="22"/>
        <v>0.96234418847484171</v>
      </c>
    </row>
    <row r="156" spans="1:11" ht="15.75" customHeight="1">
      <c r="A156" s="4" t="str">
        <f t="shared" si="19"/>
        <v>Jun</v>
      </c>
      <c r="B156" s="4">
        <v>155</v>
      </c>
      <c r="C156" s="3">
        <v>21705</v>
      </c>
      <c r="D156" s="4">
        <v>35</v>
      </c>
      <c r="E156" s="13">
        <f t="shared" si="20"/>
        <v>41.446454421392673</v>
      </c>
      <c r="F156" s="13">
        <f t="shared" si="21"/>
        <v>39.885754545314647</v>
      </c>
      <c r="G156" s="13">
        <f t="shared" si="23"/>
        <v>-4.8857545453146471</v>
      </c>
      <c r="H156" s="13">
        <f t="shared" si="24"/>
        <v>4.8857545453146471</v>
      </c>
      <c r="I156" s="13">
        <f t="shared" si="25"/>
        <v>23.870597477062734</v>
      </c>
      <c r="J156" s="5">
        <f t="shared" si="26"/>
        <v>0.13959298700898992</v>
      </c>
      <c r="K156" s="8">
        <f t="shared" si="22"/>
        <v>0.96234418847484171</v>
      </c>
    </row>
    <row r="157" spans="1:11" ht="15.75" customHeight="1">
      <c r="A157" s="4" t="str">
        <f t="shared" si="19"/>
        <v>Jun</v>
      </c>
      <c r="B157" s="4">
        <v>156</v>
      </c>
      <c r="C157" s="3">
        <v>21706</v>
      </c>
      <c r="D157" s="4">
        <v>48</v>
      </c>
      <c r="E157" s="13">
        <f t="shared" si="20"/>
        <v>41.465538974836079</v>
      </c>
      <c r="F157" s="13">
        <f t="shared" si="21"/>
        <v>39.904120454410545</v>
      </c>
      <c r="G157" s="13">
        <f t="shared" si="23"/>
        <v>8.0958795455894546</v>
      </c>
      <c r="H157" s="13">
        <f t="shared" si="24"/>
        <v>8.0958795455894546</v>
      </c>
      <c r="I157" s="13">
        <f t="shared" si="25"/>
        <v>65.543265616693716</v>
      </c>
      <c r="J157" s="5">
        <f t="shared" si="26"/>
        <v>0.16866415719978031</v>
      </c>
      <c r="K157" s="8">
        <f t="shared" si="22"/>
        <v>0.96234418847484171</v>
      </c>
    </row>
    <row r="158" spans="1:11" ht="15.75" customHeight="1">
      <c r="A158" s="4" t="str">
        <f t="shared" si="19"/>
        <v>Jun</v>
      </c>
      <c r="B158" s="4">
        <v>157</v>
      </c>
      <c r="C158" s="3">
        <v>21707</v>
      </c>
      <c r="D158" s="4">
        <v>51</v>
      </c>
      <c r="E158" s="13">
        <f t="shared" si="20"/>
        <v>41.484623528279492</v>
      </c>
      <c r="F158" s="13">
        <f t="shared" si="21"/>
        <v>39.922486363506451</v>
      </c>
      <c r="G158" s="13">
        <f t="shared" si="23"/>
        <v>11.077513636493549</v>
      </c>
      <c r="H158" s="13">
        <f t="shared" si="24"/>
        <v>11.077513636493549</v>
      </c>
      <c r="I158" s="13">
        <f t="shared" si="25"/>
        <v>122.71130836670054</v>
      </c>
      <c r="J158" s="5">
        <f t="shared" si="26"/>
        <v>0.21720614973516764</v>
      </c>
      <c r="K158" s="8">
        <f t="shared" si="22"/>
        <v>0.96234418847484171</v>
      </c>
    </row>
    <row r="159" spans="1:11" ht="15.75" customHeight="1">
      <c r="A159" s="4" t="str">
        <f t="shared" si="19"/>
        <v>Jun</v>
      </c>
      <c r="B159" s="4">
        <v>158</v>
      </c>
      <c r="C159" s="3">
        <v>21708</v>
      </c>
      <c r="D159" s="4">
        <v>36</v>
      </c>
      <c r="E159" s="13">
        <f t="shared" si="20"/>
        <v>41.503708081722905</v>
      </c>
      <c r="F159" s="13">
        <f t="shared" si="21"/>
        <v>39.940852272602356</v>
      </c>
      <c r="G159" s="13">
        <f t="shared" si="23"/>
        <v>-3.9408522726023563</v>
      </c>
      <c r="H159" s="13">
        <f t="shared" si="24"/>
        <v>3.9408522726023563</v>
      </c>
      <c r="I159" s="13">
        <f t="shared" si="25"/>
        <v>15.530316634475156</v>
      </c>
      <c r="J159" s="5">
        <f t="shared" si="26"/>
        <v>0.10946811868339879</v>
      </c>
      <c r="K159" s="8">
        <f t="shared" si="22"/>
        <v>0.96234418847484171</v>
      </c>
    </row>
    <row r="160" spans="1:11" ht="15.75" customHeight="1">
      <c r="A160" s="4" t="str">
        <f t="shared" si="19"/>
        <v>Jun</v>
      </c>
      <c r="B160" s="4">
        <v>159</v>
      </c>
      <c r="C160" s="3">
        <v>21709</v>
      </c>
      <c r="D160" s="4">
        <v>33</v>
      </c>
      <c r="E160" s="13">
        <f t="shared" si="20"/>
        <v>41.522792635166319</v>
      </c>
      <c r="F160" s="13">
        <f t="shared" si="21"/>
        <v>39.959218181698262</v>
      </c>
      <c r="G160" s="13">
        <f t="shared" si="23"/>
        <v>-6.9592181816982617</v>
      </c>
      <c r="H160" s="13">
        <f t="shared" si="24"/>
        <v>6.9592181816982617</v>
      </c>
      <c r="I160" s="13">
        <f t="shared" si="25"/>
        <v>48.430717700479661</v>
      </c>
      <c r="J160" s="5">
        <f t="shared" si="26"/>
        <v>0.21088539944540186</v>
      </c>
      <c r="K160" s="8">
        <f t="shared" si="22"/>
        <v>0.96234418847484171</v>
      </c>
    </row>
    <row r="161" spans="1:11" ht="15.75" customHeight="1">
      <c r="A161" s="4" t="str">
        <f t="shared" si="19"/>
        <v>Jun</v>
      </c>
      <c r="B161" s="4">
        <v>160</v>
      </c>
      <c r="C161" s="3">
        <v>21710</v>
      </c>
      <c r="D161" s="4">
        <v>46</v>
      </c>
      <c r="E161" s="13">
        <f t="shared" si="20"/>
        <v>41.541877188609732</v>
      </c>
      <c r="F161" s="13">
        <f t="shared" si="21"/>
        <v>39.977584090794174</v>
      </c>
      <c r="G161" s="13">
        <f t="shared" si="23"/>
        <v>6.0224159092058258</v>
      </c>
      <c r="H161" s="13">
        <f t="shared" si="24"/>
        <v>6.0224159092058258</v>
      </c>
      <c r="I161" s="13">
        <f t="shared" si="25"/>
        <v>36.269493383455433</v>
      </c>
      <c r="J161" s="5">
        <f t="shared" si="26"/>
        <v>0.13092208498273533</v>
      </c>
      <c r="K161" s="8">
        <f t="shared" si="22"/>
        <v>0.96234418847484171</v>
      </c>
    </row>
    <row r="162" spans="1:11" ht="15.75" customHeight="1">
      <c r="A162" s="4" t="str">
        <f t="shared" si="19"/>
        <v>Jun</v>
      </c>
      <c r="B162" s="4">
        <v>161</v>
      </c>
      <c r="C162" s="3">
        <v>21711</v>
      </c>
      <c r="D162" s="4">
        <v>42</v>
      </c>
      <c r="E162" s="13">
        <f t="shared" si="20"/>
        <v>41.560961742053145</v>
      </c>
      <c r="F162" s="13">
        <f t="shared" si="21"/>
        <v>39.99594999989008</v>
      </c>
      <c r="G162" s="13">
        <f t="shared" si="23"/>
        <v>2.0040500001099204</v>
      </c>
      <c r="H162" s="13">
        <f t="shared" si="24"/>
        <v>2.0040500001099204</v>
      </c>
      <c r="I162" s="13">
        <f t="shared" si="25"/>
        <v>4.0162164029405716</v>
      </c>
      <c r="J162" s="5">
        <f t="shared" si="26"/>
        <v>4.771547619309334E-2</v>
      </c>
      <c r="K162" s="8">
        <f t="shared" si="22"/>
        <v>0.96234418847484171</v>
      </c>
    </row>
    <row r="163" spans="1:11" ht="15.75" customHeight="1">
      <c r="A163" s="4" t="str">
        <f t="shared" si="19"/>
        <v>Jun</v>
      </c>
      <c r="B163" s="4">
        <v>162</v>
      </c>
      <c r="C163" s="3">
        <v>21712</v>
      </c>
      <c r="D163" s="4">
        <v>48</v>
      </c>
      <c r="E163" s="13">
        <f t="shared" si="20"/>
        <v>41.580046295496558</v>
      </c>
      <c r="F163" s="13">
        <f t="shared" si="21"/>
        <v>40.014315908985985</v>
      </c>
      <c r="G163" s="13">
        <f t="shared" si="23"/>
        <v>7.985684091014015</v>
      </c>
      <c r="H163" s="13">
        <f t="shared" si="24"/>
        <v>7.985684091014015</v>
      </c>
      <c r="I163" s="13">
        <f t="shared" si="25"/>
        <v>63.771150401474337</v>
      </c>
      <c r="J163" s="5">
        <f t="shared" si="26"/>
        <v>0.16636841856279197</v>
      </c>
      <c r="K163" s="8">
        <f t="shared" si="22"/>
        <v>0.96234418847484171</v>
      </c>
    </row>
    <row r="164" spans="1:11" ht="15.75" customHeight="1">
      <c r="A164" s="4" t="str">
        <f t="shared" si="19"/>
        <v>Jun</v>
      </c>
      <c r="B164" s="4">
        <v>163</v>
      </c>
      <c r="C164" s="3">
        <v>21713</v>
      </c>
      <c r="D164" s="4">
        <v>34</v>
      </c>
      <c r="E164" s="13">
        <f t="shared" si="20"/>
        <v>41.599130848939971</v>
      </c>
      <c r="F164" s="13">
        <f t="shared" si="21"/>
        <v>40.03268181808189</v>
      </c>
      <c r="G164" s="13">
        <f t="shared" si="23"/>
        <v>-6.0326818180818904</v>
      </c>
      <c r="H164" s="13">
        <f t="shared" si="24"/>
        <v>6.0326818180818904</v>
      </c>
      <c r="I164" s="13">
        <f t="shared" si="25"/>
        <v>36.393249918215822</v>
      </c>
      <c r="J164" s="5">
        <f t="shared" si="26"/>
        <v>0.17743181817887912</v>
      </c>
      <c r="K164" s="8">
        <f t="shared" si="22"/>
        <v>0.96234418847484171</v>
      </c>
    </row>
    <row r="165" spans="1:11" ht="15.75" customHeight="1">
      <c r="A165" s="4" t="str">
        <f t="shared" si="19"/>
        <v>Jun</v>
      </c>
      <c r="B165" s="4">
        <v>164</v>
      </c>
      <c r="C165" s="3">
        <v>21714</v>
      </c>
      <c r="D165" s="4">
        <v>41</v>
      </c>
      <c r="E165" s="13">
        <f t="shared" si="20"/>
        <v>41.618215402383385</v>
      </c>
      <c r="F165" s="13">
        <f t="shared" si="21"/>
        <v>40.051047727177796</v>
      </c>
      <c r="G165" s="13">
        <f t="shared" si="23"/>
        <v>0.94895227282220418</v>
      </c>
      <c r="H165" s="13">
        <f t="shared" si="24"/>
        <v>0.94895227282220418</v>
      </c>
      <c r="I165" s="13">
        <f t="shared" si="25"/>
        <v>0.90051041609442706</v>
      </c>
      <c r="J165" s="5">
        <f t="shared" si="26"/>
        <v>2.314517738590742E-2</v>
      </c>
      <c r="K165" s="8">
        <f t="shared" si="22"/>
        <v>0.96234418847484171</v>
      </c>
    </row>
    <row r="166" spans="1:11" ht="15.75" customHeight="1">
      <c r="A166" s="4" t="str">
        <f t="shared" si="19"/>
        <v>Jun</v>
      </c>
      <c r="B166" s="4">
        <v>165</v>
      </c>
      <c r="C166" s="3">
        <v>21715</v>
      </c>
      <c r="D166" s="4">
        <v>35</v>
      </c>
      <c r="E166" s="13">
        <f t="shared" si="20"/>
        <v>41.637299955826798</v>
      </c>
      <c r="F166" s="13">
        <f t="shared" si="21"/>
        <v>40.069413636273701</v>
      </c>
      <c r="G166" s="13">
        <f t="shared" si="23"/>
        <v>-5.0694136362737012</v>
      </c>
      <c r="H166" s="13">
        <f t="shared" si="24"/>
        <v>5.0694136362737012</v>
      </c>
      <c r="I166" s="13">
        <f t="shared" si="25"/>
        <v>25.698954615637749</v>
      </c>
      <c r="J166" s="5">
        <f t="shared" si="26"/>
        <v>0.14484038960782003</v>
      </c>
      <c r="K166" s="8">
        <f t="shared" si="22"/>
        <v>0.96234418847484171</v>
      </c>
    </row>
    <row r="167" spans="1:11" ht="15.75" customHeight="1">
      <c r="A167" s="4" t="str">
        <f t="shared" si="19"/>
        <v>Jun</v>
      </c>
      <c r="B167" s="4">
        <v>166</v>
      </c>
      <c r="C167" s="3">
        <v>21716</v>
      </c>
      <c r="D167" s="4">
        <v>40</v>
      </c>
      <c r="E167" s="13">
        <f t="shared" si="20"/>
        <v>41.656384509270211</v>
      </c>
      <c r="F167" s="13">
        <f t="shared" si="21"/>
        <v>40.087779545369607</v>
      </c>
      <c r="G167" s="13">
        <f t="shared" si="23"/>
        <v>-8.7779545369606637E-2</v>
      </c>
      <c r="H167" s="13">
        <f t="shared" si="24"/>
        <v>8.7779545369606637E-2</v>
      </c>
      <c r="I167" s="13">
        <f t="shared" si="25"/>
        <v>7.7052485852948304E-3</v>
      </c>
      <c r="J167" s="5">
        <f t="shared" si="26"/>
        <v>2.1944886342401661E-3</v>
      </c>
      <c r="K167" s="8">
        <f t="shared" si="22"/>
        <v>0.96234418847484171</v>
      </c>
    </row>
    <row r="168" spans="1:11" ht="15.75" customHeight="1">
      <c r="A168" s="4" t="str">
        <f t="shared" si="19"/>
        <v>Jun</v>
      </c>
      <c r="B168" s="4">
        <v>167</v>
      </c>
      <c r="C168" s="3">
        <v>21717</v>
      </c>
      <c r="D168" s="4">
        <v>34</v>
      </c>
      <c r="E168" s="13">
        <f t="shared" si="20"/>
        <v>41.675469062713624</v>
      </c>
      <c r="F168" s="13">
        <f t="shared" si="21"/>
        <v>40.106145454465512</v>
      </c>
      <c r="G168" s="13">
        <f t="shared" si="23"/>
        <v>-6.106145454465512</v>
      </c>
      <c r="H168" s="13">
        <f t="shared" si="24"/>
        <v>6.106145454465512</v>
      </c>
      <c r="I168" s="13">
        <f t="shared" si="25"/>
        <v>37.285012311089837</v>
      </c>
      <c r="J168" s="5">
        <f t="shared" si="26"/>
        <v>0.17959251336663271</v>
      </c>
      <c r="K168" s="8">
        <f t="shared" si="22"/>
        <v>0.96234418847484171</v>
      </c>
    </row>
    <row r="169" spans="1:11" ht="15.75" customHeight="1">
      <c r="A169" s="4" t="str">
        <f t="shared" si="19"/>
        <v>Jun</v>
      </c>
      <c r="B169" s="4">
        <v>168</v>
      </c>
      <c r="C169" s="3">
        <v>21718</v>
      </c>
      <c r="D169" s="4">
        <v>30</v>
      </c>
      <c r="E169" s="13">
        <f t="shared" si="20"/>
        <v>41.69455361615703</v>
      </c>
      <c r="F169" s="13">
        <f t="shared" si="21"/>
        <v>40.124511363561417</v>
      </c>
      <c r="G169" s="13">
        <f t="shared" si="23"/>
        <v>-10.124511363561417</v>
      </c>
      <c r="H169" s="13">
        <f t="shared" si="24"/>
        <v>10.124511363561417</v>
      </c>
      <c r="I169" s="13">
        <f t="shared" si="25"/>
        <v>102.50573035088428</v>
      </c>
      <c r="J169" s="5">
        <f t="shared" si="26"/>
        <v>0.33748371211871392</v>
      </c>
      <c r="K169" s="8">
        <f t="shared" si="22"/>
        <v>0.96234418847484171</v>
      </c>
    </row>
    <row r="170" spans="1:11" ht="15.75" customHeight="1">
      <c r="A170" s="4" t="str">
        <f t="shared" si="19"/>
        <v>Jun</v>
      </c>
      <c r="B170" s="4">
        <v>169</v>
      </c>
      <c r="C170" s="3">
        <v>21719</v>
      </c>
      <c r="D170" s="4">
        <v>36</v>
      </c>
      <c r="E170" s="13">
        <f t="shared" si="20"/>
        <v>41.713638169600443</v>
      </c>
      <c r="F170" s="13">
        <f t="shared" si="21"/>
        <v>40.142877272657323</v>
      </c>
      <c r="G170" s="13">
        <f t="shared" si="23"/>
        <v>-4.1428772726573229</v>
      </c>
      <c r="H170" s="13">
        <f t="shared" si="24"/>
        <v>4.1428772726573229</v>
      </c>
      <c r="I170" s="13">
        <f t="shared" si="25"/>
        <v>17.163432096300578</v>
      </c>
      <c r="J170" s="5">
        <f t="shared" si="26"/>
        <v>0.11507992424048119</v>
      </c>
      <c r="K170" s="8">
        <f t="shared" si="22"/>
        <v>0.96234418847484171</v>
      </c>
    </row>
    <row r="171" spans="1:11" ht="15.75" customHeight="1">
      <c r="A171" s="4" t="str">
        <f t="shared" si="19"/>
        <v>Jun</v>
      </c>
      <c r="B171" s="4">
        <v>170</v>
      </c>
      <c r="C171" s="3">
        <v>21720</v>
      </c>
      <c r="D171" s="4">
        <v>40</v>
      </c>
      <c r="E171" s="13">
        <f t="shared" si="20"/>
        <v>41.732722723043857</v>
      </c>
      <c r="F171" s="13">
        <f t="shared" si="21"/>
        <v>40.161243181753228</v>
      </c>
      <c r="G171" s="13">
        <f t="shared" si="23"/>
        <v>-0.16124318175322827</v>
      </c>
      <c r="H171" s="13">
        <f t="shared" si="24"/>
        <v>0.16124318175322827</v>
      </c>
      <c r="I171" s="13">
        <f t="shared" si="25"/>
        <v>2.5999363661904605E-2</v>
      </c>
      <c r="J171" s="5">
        <f t="shared" si="26"/>
        <v>4.0310795438307069E-3</v>
      </c>
      <c r="K171" s="8">
        <f t="shared" si="22"/>
        <v>0.96234418847484171</v>
      </c>
    </row>
    <row r="172" spans="1:11" ht="15.75" customHeight="1">
      <c r="A172" s="4" t="str">
        <f t="shared" si="19"/>
        <v>Jun</v>
      </c>
      <c r="B172" s="4">
        <v>171</v>
      </c>
      <c r="C172" s="3">
        <v>21721</v>
      </c>
      <c r="D172" s="4">
        <v>39</v>
      </c>
      <c r="E172" s="13">
        <f t="shared" si="20"/>
        <v>41.75180727648727</v>
      </c>
      <c r="F172" s="13">
        <f t="shared" si="21"/>
        <v>40.179609090849134</v>
      </c>
      <c r="G172" s="13">
        <f t="shared" si="23"/>
        <v>-1.1796090908491337</v>
      </c>
      <c r="H172" s="13">
        <f t="shared" si="24"/>
        <v>1.1796090908491337</v>
      </c>
      <c r="I172" s="13">
        <f t="shared" si="25"/>
        <v>1.3914776072139197</v>
      </c>
      <c r="J172" s="5">
        <f t="shared" si="26"/>
        <v>3.0246386944849581E-2</v>
      </c>
      <c r="K172" s="8">
        <f t="shared" si="22"/>
        <v>0.96234418847484171</v>
      </c>
    </row>
    <row r="173" spans="1:11" ht="15.75" customHeight="1">
      <c r="A173" s="4" t="str">
        <f t="shared" si="19"/>
        <v>Jun</v>
      </c>
      <c r="B173" s="4">
        <v>172</v>
      </c>
      <c r="C173" s="3">
        <v>21722</v>
      </c>
      <c r="D173" s="4">
        <v>45</v>
      </c>
      <c r="E173" s="13">
        <f t="shared" si="20"/>
        <v>41.770891829930683</v>
      </c>
      <c r="F173" s="13">
        <f t="shared" si="21"/>
        <v>40.197974999945039</v>
      </c>
      <c r="G173" s="13">
        <f t="shared" si="23"/>
        <v>4.8020250000549609</v>
      </c>
      <c r="H173" s="13">
        <f t="shared" si="24"/>
        <v>4.8020250000549609</v>
      </c>
      <c r="I173" s="13">
        <f t="shared" si="25"/>
        <v>23.059444101152849</v>
      </c>
      <c r="J173" s="5">
        <f t="shared" si="26"/>
        <v>0.10671166666788802</v>
      </c>
      <c r="K173" s="8">
        <f t="shared" si="22"/>
        <v>0.96234418847484171</v>
      </c>
    </row>
    <row r="174" spans="1:11" ht="15.75" customHeight="1">
      <c r="A174" s="4" t="str">
        <f t="shared" si="19"/>
        <v>Jun</v>
      </c>
      <c r="B174" s="4">
        <v>173</v>
      </c>
      <c r="C174" s="3">
        <v>21723</v>
      </c>
      <c r="D174" s="4">
        <v>38</v>
      </c>
      <c r="E174" s="13">
        <f t="shared" si="20"/>
        <v>41.789976383374096</v>
      </c>
      <c r="F174" s="13">
        <f t="shared" si="21"/>
        <v>40.216340909040944</v>
      </c>
      <c r="G174" s="13">
        <f t="shared" si="23"/>
        <v>-2.2163409090409445</v>
      </c>
      <c r="H174" s="13">
        <f t="shared" si="24"/>
        <v>2.2163409090409445</v>
      </c>
      <c r="I174" s="13">
        <f t="shared" si="25"/>
        <v>4.9121670250884399</v>
      </c>
      <c r="J174" s="5">
        <f t="shared" si="26"/>
        <v>5.832476076423538E-2</v>
      </c>
      <c r="K174" s="8">
        <f t="shared" si="22"/>
        <v>0.96234418847484171</v>
      </c>
    </row>
    <row r="175" spans="1:11" ht="15.75" customHeight="1">
      <c r="A175" s="4" t="str">
        <f t="shared" si="19"/>
        <v>Jun</v>
      </c>
      <c r="B175" s="4">
        <v>174</v>
      </c>
      <c r="C175" s="3">
        <v>21724</v>
      </c>
      <c r="D175" s="4">
        <v>47</v>
      </c>
      <c r="E175" s="13">
        <f t="shared" si="20"/>
        <v>41.809060936817509</v>
      </c>
      <c r="F175" s="13">
        <f t="shared" si="21"/>
        <v>40.23470681813685</v>
      </c>
      <c r="G175" s="13">
        <f t="shared" si="23"/>
        <v>6.7652931818631501</v>
      </c>
      <c r="H175" s="13">
        <f t="shared" si="24"/>
        <v>6.7652931818631501</v>
      </c>
      <c r="I175" s="13">
        <f t="shared" si="25"/>
        <v>45.769191836564026</v>
      </c>
      <c r="J175" s="5">
        <f t="shared" si="26"/>
        <v>0.14394240812474787</v>
      </c>
      <c r="K175" s="8">
        <f t="shared" si="22"/>
        <v>0.96234418847484171</v>
      </c>
    </row>
    <row r="176" spans="1:11" ht="15.75" customHeight="1">
      <c r="A176" s="4" t="str">
        <f t="shared" si="19"/>
        <v>Jun</v>
      </c>
      <c r="B176" s="4">
        <v>175</v>
      </c>
      <c r="C176" s="3">
        <v>21725</v>
      </c>
      <c r="D176" s="4">
        <v>33</v>
      </c>
      <c r="E176" s="13">
        <f t="shared" si="20"/>
        <v>41.828145490260923</v>
      </c>
      <c r="F176" s="13">
        <f t="shared" si="21"/>
        <v>40.253072727232755</v>
      </c>
      <c r="G176" s="13">
        <f t="shared" si="23"/>
        <v>-7.2530727272327553</v>
      </c>
      <c r="H176" s="13">
        <f t="shared" si="24"/>
        <v>7.2530727272327553</v>
      </c>
      <c r="I176" s="13">
        <f t="shared" si="25"/>
        <v>52.607063986527599</v>
      </c>
      <c r="J176" s="5">
        <f t="shared" si="26"/>
        <v>0.21979008264341682</v>
      </c>
      <c r="K176" s="8">
        <f t="shared" si="22"/>
        <v>0.96234418847484171</v>
      </c>
    </row>
    <row r="177" spans="1:11" ht="15.75" customHeight="1">
      <c r="A177" s="4" t="str">
        <f t="shared" si="19"/>
        <v>Jun</v>
      </c>
      <c r="B177" s="4">
        <v>176</v>
      </c>
      <c r="C177" s="3">
        <v>21726</v>
      </c>
      <c r="D177" s="4">
        <v>30</v>
      </c>
      <c r="E177" s="13">
        <f t="shared" si="20"/>
        <v>41.847230043704336</v>
      </c>
      <c r="F177" s="13">
        <f t="shared" si="21"/>
        <v>40.271438636328661</v>
      </c>
      <c r="G177" s="13">
        <f t="shared" si="23"/>
        <v>-10.271438636328661</v>
      </c>
      <c r="H177" s="13">
        <f t="shared" si="24"/>
        <v>10.271438636328661</v>
      </c>
      <c r="I177" s="13">
        <f t="shared" si="25"/>
        <v>105.50245165986517</v>
      </c>
      <c r="J177" s="5">
        <f t="shared" si="26"/>
        <v>0.34238128787762201</v>
      </c>
      <c r="K177" s="8">
        <f t="shared" si="22"/>
        <v>0.96234418847484171</v>
      </c>
    </row>
    <row r="178" spans="1:11" ht="15.75" customHeight="1">
      <c r="A178" s="4" t="str">
        <f t="shared" si="19"/>
        <v>Jun</v>
      </c>
      <c r="B178" s="4">
        <v>177</v>
      </c>
      <c r="C178" s="3">
        <v>21727</v>
      </c>
      <c r="D178" s="4">
        <v>42</v>
      </c>
      <c r="E178" s="13">
        <f t="shared" si="20"/>
        <v>41.866314597147749</v>
      </c>
      <c r="F178" s="13">
        <f t="shared" si="21"/>
        <v>40.289804545424573</v>
      </c>
      <c r="G178" s="13">
        <f t="shared" si="23"/>
        <v>1.7101954545754268</v>
      </c>
      <c r="H178" s="13">
        <f t="shared" si="24"/>
        <v>1.7101954545754268</v>
      </c>
      <c r="I178" s="13">
        <f t="shared" si="25"/>
        <v>2.9247684928504505</v>
      </c>
      <c r="J178" s="5">
        <f t="shared" si="26"/>
        <v>4.0718939394653021E-2</v>
      </c>
      <c r="K178" s="8">
        <f t="shared" si="22"/>
        <v>0.96234418847484171</v>
      </c>
    </row>
    <row r="179" spans="1:11" ht="15.75" customHeight="1">
      <c r="A179" s="4" t="str">
        <f t="shared" si="19"/>
        <v>Jun</v>
      </c>
      <c r="B179" s="4">
        <v>178</v>
      </c>
      <c r="C179" s="3">
        <v>21728</v>
      </c>
      <c r="D179" s="4">
        <v>43</v>
      </c>
      <c r="E179" s="13">
        <f t="shared" si="20"/>
        <v>41.885399150591162</v>
      </c>
      <c r="F179" s="13">
        <f t="shared" si="21"/>
        <v>40.308170454520479</v>
      </c>
      <c r="G179" s="13">
        <f t="shared" si="23"/>
        <v>2.6918295454795214</v>
      </c>
      <c r="H179" s="13">
        <f t="shared" si="24"/>
        <v>2.6918295454795214</v>
      </c>
      <c r="I179" s="13">
        <f t="shared" si="25"/>
        <v>7.2459463019164865</v>
      </c>
      <c r="J179" s="5">
        <f t="shared" si="26"/>
        <v>6.2600687104174921E-2</v>
      </c>
      <c r="K179" s="8">
        <f t="shared" si="22"/>
        <v>0.96234418847484171</v>
      </c>
    </row>
    <row r="180" spans="1:11" ht="15.75" customHeight="1">
      <c r="A180" s="4" t="str">
        <f t="shared" si="19"/>
        <v>Jun</v>
      </c>
      <c r="B180" s="4">
        <v>179</v>
      </c>
      <c r="C180" s="3">
        <v>21729</v>
      </c>
      <c r="D180" s="4">
        <v>41</v>
      </c>
      <c r="E180" s="13">
        <f t="shared" si="20"/>
        <v>41.904483704034575</v>
      </c>
      <c r="F180" s="13">
        <f t="shared" si="21"/>
        <v>40.326536363616384</v>
      </c>
      <c r="G180" s="13">
        <f t="shared" si="23"/>
        <v>0.67346363638361595</v>
      </c>
      <c r="H180" s="13">
        <f t="shared" si="24"/>
        <v>0.67346363638361595</v>
      </c>
      <c r="I180" s="13">
        <f t="shared" si="25"/>
        <v>0.4535532695310433</v>
      </c>
      <c r="J180" s="5">
        <f t="shared" si="26"/>
        <v>1.64259423508199E-2</v>
      </c>
      <c r="K180" s="8">
        <f t="shared" si="22"/>
        <v>0.96234418847484171</v>
      </c>
    </row>
    <row r="181" spans="1:11" ht="15.75" customHeight="1">
      <c r="A181" s="4" t="str">
        <f t="shared" si="19"/>
        <v>Jun</v>
      </c>
      <c r="B181" s="4">
        <v>180</v>
      </c>
      <c r="C181" s="3">
        <v>21730</v>
      </c>
      <c r="D181" s="4">
        <v>41</v>
      </c>
      <c r="E181" s="13">
        <f t="shared" si="20"/>
        <v>41.923568257477982</v>
      </c>
      <c r="F181" s="13">
        <f t="shared" si="21"/>
        <v>40.344902272712282</v>
      </c>
      <c r="G181" s="13">
        <f t="shared" si="23"/>
        <v>0.65509772728771765</v>
      </c>
      <c r="H181" s="13">
        <f t="shared" si="24"/>
        <v>0.65509772728771765</v>
      </c>
      <c r="I181" s="13">
        <f t="shared" si="25"/>
        <v>0.42915303229753288</v>
      </c>
      <c r="J181" s="5">
        <f t="shared" si="26"/>
        <v>1.5977993348480917E-2</v>
      </c>
      <c r="K181" s="8">
        <f t="shared" si="22"/>
        <v>0.96234418847484171</v>
      </c>
    </row>
    <row r="182" spans="1:11" ht="15.75" customHeight="1">
      <c r="A182" s="4" t="str">
        <f t="shared" si="19"/>
        <v>Jun</v>
      </c>
      <c r="B182" s="4">
        <v>181</v>
      </c>
      <c r="C182" s="3">
        <v>21731</v>
      </c>
      <c r="D182" s="4">
        <v>59</v>
      </c>
      <c r="E182" s="13">
        <f t="shared" si="20"/>
        <v>41.942652810921395</v>
      </c>
      <c r="F182" s="13">
        <f t="shared" si="21"/>
        <v>40.363268181808188</v>
      </c>
      <c r="G182" s="13">
        <f t="shared" si="23"/>
        <v>18.636731818191812</v>
      </c>
      <c r="H182" s="13">
        <f t="shared" si="24"/>
        <v>18.636731818191812</v>
      </c>
      <c r="I182" s="13">
        <f t="shared" si="25"/>
        <v>347.32777286320311</v>
      </c>
      <c r="J182" s="5">
        <f t="shared" si="26"/>
        <v>0.31587681047782734</v>
      </c>
      <c r="K182" s="8">
        <f t="shared" si="22"/>
        <v>0.96234418847484171</v>
      </c>
    </row>
    <row r="183" spans="1:11" ht="15.75" customHeight="1">
      <c r="A183" s="4" t="str">
        <f t="shared" si="19"/>
        <v>Jul</v>
      </c>
      <c r="B183" s="4">
        <v>182</v>
      </c>
      <c r="C183" s="3">
        <v>21732</v>
      </c>
      <c r="D183" s="4">
        <v>43</v>
      </c>
      <c r="E183" s="13">
        <f t="shared" si="20"/>
        <v>41.961737364364808</v>
      </c>
      <c r="F183" s="13">
        <f t="shared" si="21"/>
        <v>41.916419928277968</v>
      </c>
      <c r="G183" s="13">
        <f t="shared" si="23"/>
        <v>1.0835800717220323</v>
      </c>
      <c r="H183" s="13">
        <f t="shared" si="24"/>
        <v>1.0835800717220323</v>
      </c>
      <c r="I183" s="13">
        <f t="shared" si="25"/>
        <v>1.1741457718331247</v>
      </c>
      <c r="J183" s="5">
        <f t="shared" si="26"/>
        <v>2.5199536551675169E-2</v>
      </c>
      <c r="K183" s="8">
        <f t="shared" si="22"/>
        <v>0.99892002955708581</v>
      </c>
    </row>
    <row r="184" spans="1:11" ht="15.75" customHeight="1">
      <c r="A184" s="4" t="str">
        <f t="shared" si="19"/>
        <v>Jul</v>
      </c>
      <c r="B184" s="4">
        <v>183</v>
      </c>
      <c r="C184" s="3">
        <v>21733</v>
      </c>
      <c r="D184" s="4">
        <v>45</v>
      </c>
      <c r="E184" s="13">
        <f t="shared" si="20"/>
        <v>41.980821917808221</v>
      </c>
      <c r="F184" s="13">
        <f t="shared" si="21"/>
        <v>41.935483870967744</v>
      </c>
      <c r="G184" s="13">
        <f t="shared" si="23"/>
        <v>3.0645161290322562</v>
      </c>
      <c r="H184" s="13">
        <f t="shared" si="24"/>
        <v>3.0645161290322562</v>
      </c>
      <c r="I184" s="13">
        <f t="shared" si="25"/>
        <v>9.391259105098845</v>
      </c>
      <c r="J184" s="5">
        <f t="shared" si="26"/>
        <v>6.8100358422939031E-2</v>
      </c>
      <c r="K184" s="8">
        <f t="shared" si="22"/>
        <v>0.99892002955708581</v>
      </c>
    </row>
    <row r="185" spans="1:11" ht="15.75" customHeight="1">
      <c r="A185" s="4" t="str">
        <f t="shared" si="19"/>
        <v>Jul</v>
      </c>
      <c r="B185" s="4">
        <v>184</v>
      </c>
      <c r="C185" s="3">
        <v>21734</v>
      </c>
      <c r="D185" s="4">
        <v>38</v>
      </c>
      <c r="E185" s="13">
        <f t="shared" si="20"/>
        <v>41.999906471251634</v>
      </c>
      <c r="F185" s="13">
        <f t="shared" si="21"/>
        <v>41.95454781365752</v>
      </c>
      <c r="G185" s="13">
        <f t="shared" si="23"/>
        <v>-3.9545478136575198</v>
      </c>
      <c r="H185" s="13">
        <f t="shared" si="24"/>
        <v>3.9545478136575198</v>
      </c>
      <c r="I185" s="13">
        <f t="shared" si="25"/>
        <v>15.63844841050347</v>
      </c>
      <c r="J185" s="5">
        <f t="shared" si="26"/>
        <v>0.10406704772782947</v>
      </c>
      <c r="K185" s="8">
        <f t="shared" si="22"/>
        <v>0.99892002955708581</v>
      </c>
    </row>
    <row r="186" spans="1:11" ht="15.75" customHeight="1">
      <c r="A186" s="4" t="str">
        <f t="shared" si="19"/>
        <v>Jul</v>
      </c>
      <c r="B186" s="4">
        <v>185</v>
      </c>
      <c r="C186" s="3">
        <v>21735</v>
      </c>
      <c r="D186" s="4">
        <v>37</v>
      </c>
      <c r="E186" s="13">
        <f t="shared" si="20"/>
        <v>42.018991024695048</v>
      </c>
      <c r="F186" s="13">
        <f t="shared" si="21"/>
        <v>41.973611756347303</v>
      </c>
      <c r="G186" s="13">
        <f t="shared" si="23"/>
        <v>-4.973611756347303</v>
      </c>
      <c r="H186" s="13">
        <f t="shared" si="24"/>
        <v>4.973611756347303</v>
      </c>
      <c r="I186" s="13">
        <f t="shared" si="25"/>
        <v>24.736813902876104</v>
      </c>
      <c r="J186" s="5">
        <f t="shared" si="26"/>
        <v>0.13442193936073793</v>
      </c>
      <c r="K186" s="8">
        <f t="shared" si="22"/>
        <v>0.99892002955708581</v>
      </c>
    </row>
    <row r="187" spans="1:11" ht="15.75" customHeight="1">
      <c r="A187" s="4" t="str">
        <f t="shared" si="19"/>
        <v>Jul</v>
      </c>
      <c r="B187" s="4">
        <v>186</v>
      </c>
      <c r="C187" s="3">
        <v>21736</v>
      </c>
      <c r="D187" s="4">
        <v>45</v>
      </c>
      <c r="E187" s="13">
        <f t="shared" si="20"/>
        <v>42.038075578138461</v>
      </c>
      <c r="F187" s="13">
        <f t="shared" si="21"/>
        <v>41.992675699037079</v>
      </c>
      <c r="G187" s="13">
        <f t="shared" si="23"/>
        <v>3.0073243009629209</v>
      </c>
      <c r="H187" s="13">
        <f t="shared" si="24"/>
        <v>3.0073243009629209</v>
      </c>
      <c r="I187" s="13">
        <f t="shared" si="25"/>
        <v>9.0439994511621205</v>
      </c>
      <c r="J187" s="5">
        <f t="shared" si="26"/>
        <v>6.6829428910287134E-2</v>
      </c>
      <c r="K187" s="8">
        <f t="shared" si="22"/>
        <v>0.99892002955708581</v>
      </c>
    </row>
    <row r="188" spans="1:11" ht="15.75" customHeight="1">
      <c r="A188" s="4" t="str">
        <f t="shared" si="19"/>
        <v>Jul</v>
      </c>
      <c r="B188" s="4">
        <v>187</v>
      </c>
      <c r="C188" s="3">
        <v>21737</v>
      </c>
      <c r="D188" s="4">
        <v>42</v>
      </c>
      <c r="E188" s="13">
        <f t="shared" si="20"/>
        <v>42.057160131581874</v>
      </c>
      <c r="F188" s="13">
        <f t="shared" si="21"/>
        <v>42.011739641726855</v>
      </c>
      <c r="G188" s="13">
        <f t="shared" si="23"/>
        <v>-1.1739641726855155E-2</v>
      </c>
      <c r="H188" s="13">
        <f t="shared" si="24"/>
        <v>1.1739641726855155E-2</v>
      </c>
      <c r="I188" s="13">
        <f t="shared" si="25"/>
        <v>1.3781918787491868E-4</v>
      </c>
      <c r="J188" s="5">
        <f t="shared" si="26"/>
        <v>2.79515279210837E-4</v>
      </c>
      <c r="K188" s="8">
        <f t="shared" si="22"/>
        <v>0.99892002955708581</v>
      </c>
    </row>
    <row r="189" spans="1:11" ht="15.75" customHeight="1">
      <c r="A189" s="4" t="str">
        <f t="shared" si="19"/>
        <v>Jul</v>
      </c>
      <c r="B189" s="4">
        <v>188</v>
      </c>
      <c r="C189" s="3">
        <v>21738</v>
      </c>
      <c r="D189" s="4">
        <v>57</v>
      </c>
      <c r="E189" s="13">
        <f t="shared" si="20"/>
        <v>42.076244685025287</v>
      </c>
      <c r="F189" s="13">
        <f t="shared" si="21"/>
        <v>42.030803584416631</v>
      </c>
      <c r="G189" s="13">
        <f t="shared" si="23"/>
        <v>14.969196415583369</v>
      </c>
      <c r="H189" s="13">
        <f t="shared" si="24"/>
        <v>14.969196415583369</v>
      </c>
      <c r="I189" s="13">
        <f t="shared" si="25"/>
        <v>224.07684132831398</v>
      </c>
      <c r="J189" s="5">
        <f t="shared" si="26"/>
        <v>0.26261748097514681</v>
      </c>
      <c r="K189" s="8">
        <f t="shared" si="22"/>
        <v>0.99892002955708581</v>
      </c>
    </row>
    <row r="190" spans="1:11" ht="15.75" customHeight="1">
      <c r="A190" s="4" t="str">
        <f t="shared" si="19"/>
        <v>Jul</v>
      </c>
      <c r="B190" s="4">
        <v>189</v>
      </c>
      <c r="C190" s="3">
        <v>21739</v>
      </c>
      <c r="D190" s="4">
        <v>46</v>
      </c>
      <c r="E190" s="13">
        <f t="shared" si="20"/>
        <v>42.0953292384687</v>
      </c>
      <c r="F190" s="13">
        <f t="shared" si="21"/>
        <v>42.049867527106414</v>
      </c>
      <c r="G190" s="13">
        <f t="shared" si="23"/>
        <v>3.9501324728935856</v>
      </c>
      <c r="H190" s="13">
        <f t="shared" si="24"/>
        <v>3.9501324728935856</v>
      </c>
      <c r="I190" s="13">
        <f t="shared" si="25"/>
        <v>15.603546553408394</v>
      </c>
      <c r="J190" s="5">
        <f t="shared" si="26"/>
        <v>8.5872445062904035E-2</v>
      </c>
      <c r="K190" s="8">
        <f t="shared" si="22"/>
        <v>0.99892002955708581</v>
      </c>
    </row>
    <row r="191" spans="1:11" ht="15.75" customHeight="1">
      <c r="A191" s="4" t="str">
        <f t="shared" si="19"/>
        <v>Jul</v>
      </c>
      <c r="B191" s="4">
        <v>190</v>
      </c>
      <c r="C191" s="3">
        <v>21740</v>
      </c>
      <c r="D191" s="4">
        <v>51</v>
      </c>
      <c r="E191" s="13">
        <f t="shared" si="20"/>
        <v>42.114413791912114</v>
      </c>
      <c r="F191" s="13">
        <f t="shared" si="21"/>
        <v>42.06893146979619</v>
      </c>
      <c r="G191" s="13">
        <f t="shared" si="23"/>
        <v>8.9310685302038095</v>
      </c>
      <c r="H191" s="13">
        <f t="shared" si="24"/>
        <v>8.9310685302038095</v>
      </c>
      <c r="I191" s="13">
        <f t="shared" si="25"/>
        <v>79.76398509119683</v>
      </c>
      <c r="J191" s="5">
        <f t="shared" si="26"/>
        <v>0.17511899078831</v>
      </c>
      <c r="K191" s="8">
        <f t="shared" si="22"/>
        <v>0.99892002955708581</v>
      </c>
    </row>
    <row r="192" spans="1:11" ht="15.75" customHeight="1">
      <c r="A192" s="4" t="str">
        <f t="shared" si="19"/>
        <v>Jul</v>
      </c>
      <c r="B192" s="4">
        <v>191</v>
      </c>
      <c r="C192" s="3">
        <v>21741</v>
      </c>
      <c r="D192" s="4">
        <v>41</v>
      </c>
      <c r="E192" s="13">
        <f t="shared" si="20"/>
        <v>42.133498345355527</v>
      </c>
      <c r="F192" s="13">
        <f t="shared" si="21"/>
        <v>42.087995412485967</v>
      </c>
      <c r="G192" s="13">
        <f t="shared" si="23"/>
        <v>-1.0879954124859665</v>
      </c>
      <c r="H192" s="13">
        <f t="shared" si="24"/>
        <v>1.0879954124859665</v>
      </c>
      <c r="I192" s="13">
        <f t="shared" si="25"/>
        <v>1.1837340175905084</v>
      </c>
      <c r="J192" s="5">
        <f t="shared" si="26"/>
        <v>2.6536473475267476E-2</v>
      </c>
      <c r="K192" s="8">
        <f t="shared" si="22"/>
        <v>0.99892002955708581</v>
      </c>
    </row>
    <row r="193" spans="1:11" ht="15.75" customHeight="1">
      <c r="A193" s="4" t="str">
        <f t="shared" si="19"/>
        <v>Jul</v>
      </c>
      <c r="B193" s="4">
        <v>192</v>
      </c>
      <c r="C193" s="3">
        <v>21742</v>
      </c>
      <c r="D193" s="4">
        <v>47</v>
      </c>
      <c r="E193" s="13">
        <f t="shared" si="20"/>
        <v>42.15258289879894</v>
      </c>
      <c r="F193" s="13">
        <f t="shared" si="21"/>
        <v>42.10705935517575</v>
      </c>
      <c r="G193" s="13">
        <f t="shared" si="23"/>
        <v>4.8929406448242503</v>
      </c>
      <c r="H193" s="13">
        <f t="shared" si="24"/>
        <v>4.8929406448242503</v>
      </c>
      <c r="I193" s="13">
        <f t="shared" si="25"/>
        <v>23.940868153773149</v>
      </c>
      <c r="J193" s="5">
        <f t="shared" si="26"/>
        <v>0.10410512010264363</v>
      </c>
      <c r="K193" s="8">
        <f t="shared" si="22"/>
        <v>0.99892002955708581</v>
      </c>
    </row>
    <row r="194" spans="1:11" ht="15.75" customHeight="1">
      <c r="A194" s="4" t="str">
        <f t="shared" ref="A194:A257" si="27">IF(MONTH(C194)=1, "Jan",  IF(MONTH(C194) = 2, "Feb", IF(MONTH(C194) = 3, "Mar", IF(MONTH(C194) = 4, "Apr", IF(MONTH(C194) = 5, "May", IF(MONTH(C194) = 6, "Jun", IF(MONTH(C194) = 7, "Jul", IF(MONTH(C194) = 8, "Aug", IF(MONTH(C194) = 9, "Sep", IF(MONTH(C194) = 10, "Oct", IF(MONTH(C194) = 11, "Nov", "Dec")))))))))))</f>
        <v>Jul</v>
      </c>
      <c r="B194" s="4">
        <v>193</v>
      </c>
      <c r="C194" s="3">
        <v>21743</v>
      </c>
      <c r="D194" s="4">
        <v>26</v>
      </c>
      <c r="E194" s="13">
        <f t="shared" ref="E194:E257" si="28">$O$2+($O$3*B194)</f>
        <v>42.171667452242346</v>
      </c>
      <c r="F194" s="13">
        <f t="shared" ref="F194:F257" si="29">E194*K194</f>
        <v>42.126123297865519</v>
      </c>
      <c r="G194" s="13">
        <f t="shared" si="23"/>
        <v>-16.126123297865519</v>
      </c>
      <c r="H194" s="13">
        <f t="shared" si="24"/>
        <v>16.126123297865519</v>
      </c>
      <c r="I194" s="13">
        <f t="shared" si="25"/>
        <v>260.05185261796106</v>
      </c>
      <c r="J194" s="5">
        <f t="shared" si="26"/>
        <v>0.62023551145636613</v>
      </c>
      <c r="K194" s="8">
        <f t="shared" ref="K194:K257" si="30">VLOOKUP(A194,$V$7:$Y$19,4,FALSE)</f>
        <v>0.99892002955708581</v>
      </c>
    </row>
    <row r="195" spans="1:11" ht="15.75" customHeight="1">
      <c r="A195" s="4" t="str">
        <f t="shared" si="27"/>
        <v>Jul</v>
      </c>
      <c r="B195" s="4">
        <v>194</v>
      </c>
      <c r="C195" s="3">
        <v>21744</v>
      </c>
      <c r="D195" s="4">
        <v>35</v>
      </c>
      <c r="E195" s="13">
        <f t="shared" si="28"/>
        <v>42.190752005685759</v>
      </c>
      <c r="F195" s="13">
        <f t="shared" si="29"/>
        <v>42.145187240555295</v>
      </c>
      <c r="G195" s="13">
        <f t="shared" ref="G195:G258" si="31">D195-F195</f>
        <v>-7.1451872405552947</v>
      </c>
      <c r="H195" s="13">
        <f t="shared" ref="H195:H258" si="32">ABS(G195)</f>
        <v>7.1451872405552947</v>
      </c>
      <c r="I195" s="13">
        <f t="shared" ref="I195:I258" si="33">H195^2</f>
        <v>51.053700702594185</v>
      </c>
      <c r="J195" s="5">
        <f t="shared" ref="J195:J258" si="34">H195/D195</f>
        <v>0.20414820687300841</v>
      </c>
      <c r="K195" s="8">
        <f t="shared" si="30"/>
        <v>0.99892002955708581</v>
      </c>
    </row>
    <row r="196" spans="1:11" ht="15.75" customHeight="1">
      <c r="A196" s="4" t="str">
        <f t="shared" si="27"/>
        <v>Jul</v>
      </c>
      <c r="B196" s="4">
        <v>195</v>
      </c>
      <c r="C196" s="3">
        <v>21745</v>
      </c>
      <c r="D196" s="4">
        <v>44</v>
      </c>
      <c r="E196" s="13">
        <f t="shared" si="28"/>
        <v>42.209836559129172</v>
      </c>
      <c r="F196" s="13">
        <f t="shared" si="29"/>
        <v>42.164251183245071</v>
      </c>
      <c r="G196" s="13">
        <f t="shared" si="31"/>
        <v>1.8357488167549292</v>
      </c>
      <c r="H196" s="13">
        <f t="shared" si="32"/>
        <v>1.8357488167549292</v>
      </c>
      <c r="I196" s="13">
        <f t="shared" si="33"/>
        <v>3.3699737182171225</v>
      </c>
      <c r="J196" s="5">
        <f t="shared" si="34"/>
        <v>4.1721564017157479E-2</v>
      </c>
      <c r="K196" s="8">
        <f t="shared" si="30"/>
        <v>0.99892002955708581</v>
      </c>
    </row>
    <row r="197" spans="1:11" ht="15.75" customHeight="1">
      <c r="A197" s="4" t="str">
        <f t="shared" si="27"/>
        <v>Jul</v>
      </c>
      <c r="B197" s="4">
        <v>196</v>
      </c>
      <c r="C197" s="3">
        <v>21746</v>
      </c>
      <c r="D197" s="4">
        <v>41</v>
      </c>
      <c r="E197" s="13">
        <f t="shared" si="28"/>
        <v>42.228921112572586</v>
      </c>
      <c r="F197" s="13">
        <f t="shared" si="29"/>
        <v>42.183315125934854</v>
      </c>
      <c r="G197" s="13">
        <f t="shared" si="31"/>
        <v>-1.183315125934854</v>
      </c>
      <c r="H197" s="13">
        <f t="shared" si="32"/>
        <v>1.183315125934854</v>
      </c>
      <c r="I197" s="13">
        <f t="shared" si="33"/>
        <v>1.4002346872662195</v>
      </c>
      <c r="J197" s="5">
        <f t="shared" si="34"/>
        <v>2.886134453499644E-2</v>
      </c>
      <c r="K197" s="8">
        <f t="shared" si="30"/>
        <v>0.99892002955708581</v>
      </c>
    </row>
    <row r="198" spans="1:11" ht="15.75" customHeight="1">
      <c r="A198" s="4" t="str">
        <f t="shared" si="27"/>
        <v>Jul</v>
      </c>
      <c r="B198" s="4">
        <v>197</v>
      </c>
      <c r="C198" s="3">
        <v>21747</v>
      </c>
      <c r="D198" s="4">
        <v>42</v>
      </c>
      <c r="E198" s="13">
        <f t="shared" si="28"/>
        <v>42.248005666015999</v>
      </c>
      <c r="F198" s="13">
        <f t="shared" si="29"/>
        <v>42.20237906862463</v>
      </c>
      <c r="G198" s="13">
        <f t="shared" si="31"/>
        <v>-0.20237906862463007</v>
      </c>
      <c r="H198" s="13">
        <f t="shared" si="32"/>
        <v>0.20237906862463007</v>
      </c>
      <c r="I198" s="13">
        <f t="shared" si="33"/>
        <v>4.0957287417372729E-2</v>
      </c>
      <c r="J198" s="5">
        <f t="shared" si="34"/>
        <v>4.8185492529673824E-3</v>
      </c>
      <c r="K198" s="8">
        <f t="shared" si="30"/>
        <v>0.99892002955708581</v>
      </c>
    </row>
    <row r="199" spans="1:11" ht="15.75" customHeight="1">
      <c r="A199" s="4" t="str">
        <f t="shared" si="27"/>
        <v>Jul</v>
      </c>
      <c r="B199" s="4">
        <v>198</v>
      </c>
      <c r="C199" s="3">
        <v>21748</v>
      </c>
      <c r="D199" s="4">
        <v>36</v>
      </c>
      <c r="E199" s="13">
        <f t="shared" si="28"/>
        <v>42.267090219459412</v>
      </c>
      <c r="F199" s="13">
        <f t="shared" si="29"/>
        <v>42.221443011314406</v>
      </c>
      <c r="G199" s="13">
        <f t="shared" si="31"/>
        <v>-6.2214430113144061</v>
      </c>
      <c r="H199" s="13">
        <f t="shared" si="32"/>
        <v>6.2214430113144061</v>
      </c>
      <c r="I199" s="13">
        <f t="shared" si="33"/>
        <v>38.706353143032864</v>
      </c>
      <c r="J199" s="5">
        <f t="shared" si="34"/>
        <v>0.17281786142540018</v>
      </c>
      <c r="K199" s="8">
        <f t="shared" si="30"/>
        <v>0.99892002955708581</v>
      </c>
    </row>
    <row r="200" spans="1:11" ht="15.75" customHeight="1">
      <c r="A200" s="4" t="str">
        <f t="shared" si="27"/>
        <v>Jul</v>
      </c>
      <c r="B200" s="4">
        <v>199</v>
      </c>
      <c r="C200" s="3">
        <v>21749</v>
      </c>
      <c r="D200" s="4">
        <v>45</v>
      </c>
      <c r="E200" s="13">
        <f t="shared" si="28"/>
        <v>42.286174772902825</v>
      </c>
      <c r="F200" s="13">
        <f t="shared" si="29"/>
        <v>42.240506954004189</v>
      </c>
      <c r="G200" s="13">
        <f t="shared" si="31"/>
        <v>2.7594930459958107</v>
      </c>
      <c r="H200" s="13">
        <f t="shared" si="32"/>
        <v>2.7594930459958107</v>
      </c>
      <c r="I200" s="13">
        <f t="shared" si="33"/>
        <v>7.6148018708992371</v>
      </c>
      <c r="J200" s="5">
        <f t="shared" si="34"/>
        <v>6.1322067688795792E-2</v>
      </c>
      <c r="K200" s="8">
        <f t="shared" si="30"/>
        <v>0.99892002955708581</v>
      </c>
    </row>
    <row r="201" spans="1:11" ht="15.75" customHeight="1">
      <c r="A201" s="4" t="str">
        <f t="shared" si="27"/>
        <v>Jul</v>
      </c>
      <c r="B201" s="4">
        <v>200</v>
      </c>
      <c r="C201" s="3">
        <v>21750</v>
      </c>
      <c r="D201" s="4">
        <v>45</v>
      </c>
      <c r="E201" s="13">
        <f t="shared" si="28"/>
        <v>42.305259326346238</v>
      </c>
      <c r="F201" s="13">
        <f t="shared" si="29"/>
        <v>42.259570896693965</v>
      </c>
      <c r="G201" s="13">
        <f t="shared" si="31"/>
        <v>2.7404291033060346</v>
      </c>
      <c r="H201" s="13">
        <f t="shared" si="32"/>
        <v>2.7404291033060346</v>
      </c>
      <c r="I201" s="13">
        <f t="shared" si="33"/>
        <v>7.5099516702467168</v>
      </c>
      <c r="J201" s="5">
        <f t="shared" si="34"/>
        <v>6.089842451791188E-2</v>
      </c>
      <c r="K201" s="8">
        <f t="shared" si="30"/>
        <v>0.99892002955708581</v>
      </c>
    </row>
    <row r="202" spans="1:11" ht="15.75" customHeight="1">
      <c r="A202" s="4" t="str">
        <f t="shared" si="27"/>
        <v>Jul</v>
      </c>
      <c r="B202" s="4">
        <v>201</v>
      </c>
      <c r="C202" s="3">
        <v>21751</v>
      </c>
      <c r="D202" s="4">
        <v>45</v>
      </c>
      <c r="E202" s="13">
        <f t="shared" si="28"/>
        <v>42.324343879789652</v>
      </c>
      <c r="F202" s="13">
        <f t="shared" si="29"/>
        <v>42.278634839383741</v>
      </c>
      <c r="G202" s="13">
        <f t="shared" si="31"/>
        <v>2.7213651606162585</v>
      </c>
      <c r="H202" s="13">
        <f t="shared" si="32"/>
        <v>2.7213651606162585</v>
      </c>
      <c r="I202" s="13">
        <f t="shared" si="33"/>
        <v>7.4058283374159544</v>
      </c>
      <c r="J202" s="5">
        <f t="shared" si="34"/>
        <v>6.0474781347027967E-2</v>
      </c>
      <c r="K202" s="8">
        <f t="shared" si="30"/>
        <v>0.99892002955708581</v>
      </c>
    </row>
    <row r="203" spans="1:11" ht="15.75" customHeight="1">
      <c r="A203" s="4" t="str">
        <f t="shared" si="27"/>
        <v>Jul</v>
      </c>
      <c r="B203" s="4">
        <v>202</v>
      </c>
      <c r="C203" s="3">
        <v>21752</v>
      </c>
      <c r="D203" s="4">
        <v>47</v>
      </c>
      <c r="E203" s="13">
        <f t="shared" si="28"/>
        <v>42.343428433233065</v>
      </c>
      <c r="F203" s="13">
        <f t="shared" si="29"/>
        <v>42.297698782073518</v>
      </c>
      <c r="G203" s="13">
        <f t="shared" si="31"/>
        <v>4.7023012179264825</v>
      </c>
      <c r="H203" s="13">
        <f t="shared" si="32"/>
        <v>4.7023012179264825</v>
      </c>
      <c r="I203" s="13">
        <f t="shared" si="33"/>
        <v>22.111636744112879</v>
      </c>
      <c r="J203" s="5">
        <f t="shared" si="34"/>
        <v>0.10004896208354218</v>
      </c>
      <c r="K203" s="8">
        <f t="shared" si="30"/>
        <v>0.99892002955708581</v>
      </c>
    </row>
    <row r="204" spans="1:11" ht="15.75" customHeight="1">
      <c r="A204" s="4" t="str">
        <f t="shared" si="27"/>
        <v>Jul</v>
      </c>
      <c r="B204" s="4">
        <v>203</v>
      </c>
      <c r="C204" s="3">
        <v>21753</v>
      </c>
      <c r="D204" s="4">
        <v>38</v>
      </c>
      <c r="E204" s="13">
        <f t="shared" si="28"/>
        <v>42.362512986676478</v>
      </c>
      <c r="F204" s="13">
        <f t="shared" si="29"/>
        <v>42.316762724763301</v>
      </c>
      <c r="G204" s="13">
        <f t="shared" si="31"/>
        <v>-4.3167627247633007</v>
      </c>
      <c r="H204" s="13">
        <f t="shared" si="32"/>
        <v>4.3167627247633007</v>
      </c>
      <c r="I204" s="13">
        <f t="shared" si="33"/>
        <v>18.634440421905875</v>
      </c>
      <c r="J204" s="5">
        <f t="shared" si="34"/>
        <v>0.11359901907271844</v>
      </c>
      <c r="K204" s="8">
        <f t="shared" si="30"/>
        <v>0.99892002955708581</v>
      </c>
    </row>
    <row r="205" spans="1:11" ht="15.75" customHeight="1">
      <c r="A205" s="4" t="str">
        <f t="shared" si="27"/>
        <v>Jul</v>
      </c>
      <c r="B205" s="4">
        <v>204</v>
      </c>
      <c r="C205" s="3">
        <v>21754</v>
      </c>
      <c r="D205" s="4">
        <v>42</v>
      </c>
      <c r="E205" s="13">
        <f t="shared" si="28"/>
        <v>42.381597540119891</v>
      </c>
      <c r="F205" s="13">
        <f t="shared" si="29"/>
        <v>42.335826667453077</v>
      </c>
      <c r="G205" s="13">
        <f t="shared" si="31"/>
        <v>-0.33582666745307677</v>
      </c>
      <c r="H205" s="13">
        <f t="shared" si="32"/>
        <v>0.33582666745307677</v>
      </c>
      <c r="I205" s="13">
        <f t="shared" si="33"/>
        <v>0.11277955057263941</v>
      </c>
      <c r="J205" s="5">
        <f t="shared" si="34"/>
        <v>7.9958730345970654E-3</v>
      </c>
      <c r="K205" s="8">
        <f t="shared" si="30"/>
        <v>0.99892002955708581</v>
      </c>
    </row>
    <row r="206" spans="1:11" ht="15.75" customHeight="1">
      <c r="A206" s="4" t="str">
        <f t="shared" si="27"/>
        <v>Jul</v>
      </c>
      <c r="B206" s="4">
        <v>205</v>
      </c>
      <c r="C206" s="3">
        <v>21755</v>
      </c>
      <c r="D206" s="4">
        <v>35</v>
      </c>
      <c r="E206" s="13">
        <f t="shared" si="28"/>
        <v>42.400682093563304</v>
      </c>
      <c r="F206" s="13">
        <f t="shared" si="29"/>
        <v>42.354890610142853</v>
      </c>
      <c r="G206" s="13">
        <f t="shared" si="31"/>
        <v>-7.3548906101428528</v>
      </c>
      <c r="H206" s="13">
        <f t="shared" si="32"/>
        <v>7.3548906101428528</v>
      </c>
      <c r="I206" s="13">
        <f t="shared" si="33"/>
        <v>54.094415887167507</v>
      </c>
      <c r="J206" s="5">
        <f t="shared" si="34"/>
        <v>0.21013973171836722</v>
      </c>
      <c r="K206" s="8">
        <f t="shared" si="30"/>
        <v>0.99892002955708581</v>
      </c>
    </row>
    <row r="207" spans="1:11" ht="15.75" customHeight="1">
      <c r="A207" s="4" t="str">
        <f t="shared" si="27"/>
        <v>Jul</v>
      </c>
      <c r="B207" s="4">
        <v>206</v>
      </c>
      <c r="C207" s="3">
        <v>21756</v>
      </c>
      <c r="D207" s="4">
        <v>36</v>
      </c>
      <c r="E207" s="13">
        <f t="shared" si="28"/>
        <v>42.419766647006711</v>
      </c>
      <c r="F207" s="13">
        <f t="shared" si="29"/>
        <v>42.373954552832629</v>
      </c>
      <c r="G207" s="13">
        <f t="shared" si="31"/>
        <v>-6.3739545528326289</v>
      </c>
      <c r="H207" s="13">
        <f t="shared" si="32"/>
        <v>6.3739545528326289</v>
      </c>
      <c r="I207" s="13">
        <f t="shared" si="33"/>
        <v>40.627296641575796</v>
      </c>
      <c r="J207" s="5">
        <f t="shared" si="34"/>
        <v>0.1770542931342397</v>
      </c>
      <c r="K207" s="8">
        <f t="shared" si="30"/>
        <v>0.99892002955708581</v>
      </c>
    </row>
    <row r="208" spans="1:11" ht="15.75" customHeight="1">
      <c r="A208" s="4" t="str">
        <f t="shared" si="27"/>
        <v>Jul</v>
      </c>
      <c r="B208" s="4">
        <v>207</v>
      </c>
      <c r="C208" s="3">
        <v>21757</v>
      </c>
      <c r="D208" s="4">
        <v>39</v>
      </c>
      <c r="E208" s="13">
        <f t="shared" si="28"/>
        <v>42.438851200450124</v>
      </c>
      <c r="F208" s="13">
        <f t="shared" si="29"/>
        <v>42.393018495522405</v>
      </c>
      <c r="G208" s="13">
        <f t="shared" si="31"/>
        <v>-3.393018495522405</v>
      </c>
      <c r="H208" s="13">
        <f t="shared" si="32"/>
        <v>3.393018495522405</v>
      </c>
      <c r="I208" s="13">
        <f t="shared" si="33"/>
        <v>11.512574510957124</v>
      </c>
      <c r="J208" s="5">
        <f t="shared" si="34"/>
        <v>8.7000474244164225E-2</v>
      </c>
      <c r="K208" s="8">
        <f t="shared" si="30"/>
        <v>0.99892002955708581</v>
      </c>
    </row>
    <row r="209" spans="1:11" ht="15.75" customHeight="1">
      <c r="A209" s="4" t="str">
        <f t="shared" si="27"/>
        <v>Jul</v>
      </c>
      <c r="B209" s="4">
        <v>208</v>
      </c>
      <c r="C209" s="3">
        <v>21758</v>
      </c>
      <c r="D209" s="4">
        <v>45</v>
      </c>
      <c r="E209" s="13">
        <f t="shared" si="28"/>
        <v>42.457935753893537</v>
      </c>
      <c r="F209" s="13">
        <f t="shared" si="29"/>
        <v>42.412082438212181</v>
      </c>
      <c r="G209" s="13">
        <f t="shared" si="31"/>
        <v>2.587917561787819</v>
      </c>
      <c r="H209" s="13">
        <f t="shared" si="32"/>
        <v>2.587917561787819</v>
      </c>
      <c r="I209" s="13">
        <f t="shared" si="33"/>
        <v>6.6973173066098095</v>
      </c>
      <c r="J209" s="5">
        <f t="shared" si="34"/>
        <v>5.750927915084042E-2</v>
      </c>
      <c r="K209" s="8">
        <f t="shared" si="30"/>
        <v>0.99892002955708581</v>
      </c>
    </row>
    <row r="210" spans="1:11" ht="15.75" customHeight="1">
      <c r="A210" s="4" t="str">
        <f t="shared" si="27"/>
        <v>Jul</v>
      </c>
      <c r="B210" s="4">
        <v>209</v>
      </c>
      <c r="C210" s="3">
        <v>21759</v>
      </c>
      <c r="D210" s="4">
        <v>43</v>
      </c>
      <c r="E210" s="13">
        <f t="shared" si="28"/>
        <v>42.47702030733695</v>
      </c>
      <c r="F210" s="13">
        <f t="shared" si="29"/>
        <v>42.431146380901957</v>
      </c>
      <c r="G210" s="13">
        <f t="shared" si="31"/>
        <v>0.56885361909804288</v>
      </c>
      <c r="H210" s="13">
        <f t="shared" si="32"/>
        <v>0.56885361909804288</v>
      </c>
      <c r="I210" s="13">
        <f t="shared" si="33"/>
        <v>0.32359443996094128</v>
      </c>
      <c r="J210" s="5">
        <f t="shared" si="34"/>
        <v>1.3229153932512625E-2</v>
      </c>
      <c r="K210" s="8">
        <f t="shared" si="30"/>
        <v>0.99892002955708581</v>
      </c>
    </row>
    <row r="211" spans="1:11" ht="15.75" customHeight="1">
      <c r="A211" s="4" t="str">
        <f t="shared" si="27"/>
        <v>Jul</v>
      </c>
      <c r="B211" s="4">
        <v>210</v>
      </c>
      <c r="C211" s="3">
        <v>21760</v>
      </c>
      <c r="D211" s="4">
        <v>47</v>
      </c>
      <c r="E211" s="13">
        <f t="shared" si="28"/>
        <v>42.496104860780363</v>
      </c>
      <c r="F211" s="13">
        <f t="shared" si="29"/>
        <v>42.45021032359174</v>
      </c>
      <c r="G211" s="13">
        <f t="shared" si="31"/>
        <v>4.5497896764082597</v>
      </c>
      <c r="H211" s="13">
        <f t="shared" si="32"/>
        <v>4.5497896764082597</v>
      </c>
      <c r="I211" s="13">
        <f t="shared" si="33"/>
        <v>20.700586099551177</v>
      </c>
      <c r="J211" s="5">
        <f t="shared" si="34"/>
        <v>9.6804035668260846E-2</v>
      </c>
      <c r="K211" s="8">
        <f t="shared" si="30"/>
        <v>0.99892002955708581</v>
      </c>
    </row>
    <row r="212" spans="1:11" ht="15.75" customHeight="1">
      <c r="A212" s="4" t="str">
        <f t="shared" si="27"/>
        <v>Jul</v>
      </c>
      <c r="B212" s="4">
        <v>211</v>
      </c>
      <c r="C212" s="3">
        <v>21761</v>
      </c>
      <c r="D212" s="4">
        <v>36</v>
      </c>
      <c r="E212" s="13">
        <f t="shared" si="28"/>
        <v>42.515189414223777</v>
      </c>
      <c r="F212" s="13">
        <f t="shared" si="29"/>
        <v>42.469274266281516</v>
      </c>
      <c r="G212" s="13">
        <f t="shared" si="31"/>
        <v>-6.4692742662815164</v>
      </c>
      <c r="H212" s="13">
        <f t="shared" si="32"/>
        <v>6.4692742662815164</v>
      </c>
      <c r="I212" s="13">
        <f t="shared" si="33"/>
        <v>41.851509532372255</v>
      </c>
      <c r="J212" s="5">
        <f t="shared" si="34"/>
        <v>0.17970206295226435</v>
      </c>
      <c r="K212" s="8">
        <f t="shared" si="30"/>
        <v>0.99892002955708581</v>
      </c>
    </row>
    <row r="213" spans="1:11" ht="15.75" customHeight="1">
      <c r="A213" s="4" t="str">
        <f t="shared" si="27"/>
        <v>Jul</v>
      </c>
      <c r="B213" s="4">
        <v>212</v>
      </c>
      <c r="C213" s="3">
        <v>21762</v>
      </c>
      <c r="D213" s="4">
        <v>41</v>
      </c>
      <c r="E213" s="13">
        <f t="shared" si="28"/>
        <v>42.53427396766719</v>
      </c>
      <c r="F213" s="13">
        <f t="shared" si="29"/>
        <v>42.488338208971292</v>
      </c>
      <c r="G213" s="13">
        <f t="shared" si="31"/>
        <v>-1.4883382089712924</v>
      </c>
      <c r="H213" s="13">
        <f t="shared" si="32"/>
        <v>1.4883382089712924</v>
      </c>
      <c r="I213" s="13">
        <f t="shared" si="33"/>
        <v>2.2151506242838743</v>
      </c>
      <c r="J213" s="5">
        <f t="shared" si="34"/>
        <v>3.6300931926129085E-2</v>
      </c>
      <c r="K213" s="8">
        <f t="shared" si="30"/>
        <v>0.99892002955708581</v>
      </c>
    </row>
    <row r="214" spans="1:11" ht="15.75" customHeight="1">
      <c r="A214" s="4" t="str">
        <f t="shared" si="27"/>
        <v>Aug</v>
      </c>
      <c r="B214" s="4">
        <v>213</v>
      </c>
      <c r="C214" s="3">
        <v>21763</v>
      </c>
      <c r="D214" s="4">
        <v>50</v>
      </c>
      <c r="E214" s="13">
        <f t="shared" si="28"/>
        <v>42.553358521110603</v>
      </c>
      <c r="F214" s="13">
        <f t="shared" si="29"/>
        <v>44.175000236072385</v>
      </c>
      <c r="G214" s="13">
        <f t="shared" si="31"/>
        <v>5.8249997639276145</v>
      </c>
      <c r="H214" s="13">
        <f t="shared" si="32"/>
        <v>5.8249997639276145</v>
      </c>
      <c r="I214" s="13">
        <f t="shared" si="33"/>
        <v>33.930622249756766</v>
      </c>
      <c r="J214" s="5">
        <f t="shared" si="34"/>
        <v>0.11649999527855229</v>
      </c>
      <c r="K214" s="8">
        <f t="shared" si="30"/>
        <v>1.0381084307166328</v>
      </c>
    </row>
    <row r="215" spans="1:11" ht="15.75" customHeight="1">
      <c r="A215" s="4" t="str">
        <f t="shared" si="27"/>
        <v>Aug</v>
      </c>
      <c r="B215" s="4">
        <v>214</v>
      </c>
      <c r="C215" s="3">
        <v>21764</v>
      </c>
      <c r="D215" s="4">
        <v>39</v>
      </c>
      <c r="E215" s="13">
        <f t="shared" si="28"/>
        <v>42.572443074554016</v>
      </c>
      <c r="F215" s="13">
        <f t="shared" si="29"/>
        <v>44.194812071898454</v>
      </c>
      <c r="G215" s="13">
        <f t="shared" si="31"/>
        <v>-5.1948120718984541</v>
      </c>
      <c r="H215" s="13">
        <f t="shared" si="32"/>
        <v>5.1948120718984541</v>
      </c>
      <c r="I215" s="13">
        <f t="shared" si="33"/>
        <v>26.986072462341909</v>
      </c>
      <c r="J215" s="5">
        <f t="shared" si="34"/>
        <v>0.13320030953585779</v>
      </c>
      <c r="K215" s="8">
        <f t="shared" si="30"/>
        <v>1.0381084307166328</v>
      </c>
    </row>
    <row r="216" spans="1:11" ht="15.75" customHeight="1">
      <c r="A216" s="4" t="str">
        <f t="shared" si="27"/>
        <v>Aug</v>
      </c>
      <c r="B216" s="4">
        <v>215</v>
      </c>
      <c r="C216" s="3">
        <v>21765</v>
      </c>
      <c r="D216" s="4">
        <v>41</v>
      </c>
      <c r="E216" s="13">
        <f t="shared" si="28"/>
        <v>42.591527627997429</v>
      </c>
      <c r="F216" s="13">
        <f t="shared" si="29"/>
        <v>44.214623907724523</v>
      </c>
      <c r="G216" s="13">
        <f t="shared" si="31"/>
        <v>-3.2146239077245227</v>
      </c>
      <c r="H216" s="13">
        <f t="shared" si="32"/>
        <v>3.2146239077245227</v>
      </c>
      <c r="I216" s="13">
        <f t="shared" si="33"/>
        <v>10.333806868114081</v>
      </c>
      <c r="J216" s="5">
        <f t="shared" si="34"/>
        <v>7.8405461164012744E-2</v>
      </c>
      <c r="K216" s="8">
        <f t="shared" si="30"/>
        <v>1.0381084307166328</v>
      </c>
    </row>
    <row r="217" spans="1:11" ht="15.75" customHeight="1">
      <c r="A217" s="4" t="str">
        <f t="shared" si="27"/>
        <v>Aug</v>
      </c>
      <c r="B217" s="4">
        <v>216</v>
      </c>
      <c r="C217" s="3">
        <v>21766</v>
      </c>
      <c r="D217" s="4">
        <v>46</v>
      </c>
      <c r="E217" s="13">
        <f t="shared" si="28"/>
        <v>42.610612181440843</v>
      </c>
      <c r="F217" s="13">
        <f t="shared" si="29"/>
        <v>44.234435743550591</v>
      </c>
      <c r="G217" s="13">
        <f t="shared" si="31"/>
        <v>1.7655642564494087</v>
      </c>
      <c r="H217" s="13">
        <f t="shared" si="32"/>
        <v>1.7655642564494087</v>
      </c>
      <c r="I217" s="13">
        <f t="shared" si="33"/>
        <v>3.1172171436517537</v>
      </c>
      <c r="J217" s="5">
        <f t="shared" si="34"/>
        <v>3.8381831661943665E-2</v>
      </c>
      <c r="K217" s="8">
        <f t="shared" si="30"/>
        <v>1.0381084307166328</v>
      </c>
    </row>
    <row r="218" spans="1:11" ht="15.75" customHeight="1">
      <c r="A218" s="4" t="str">
        <f t="shared" si="27"/>
        <v>Aug</v>
      </c>
      <c r="B218" s="4">
        <v>217</v>
      </c>
      <c r="C218" s="3">
        <v>21767</v>
      </c>
      <c r="D218" s="4">
        <v>64</v>
      </c>
      <c r="E218" s="13">
        <f t="shared" si="28"/>
        <v>42.629696734884249</v>
      </c>
      <c r="F218" s="13">
        <f t="shared" si="29"/>
        <v>44.254247579376653</v>
      </c>
      <c r="G218" s="13">
        <f t="shared" si="31"/>
        <v>19.745752420623347</v>
      </c>
      <c r="H218" s="13">
        <f t="shared" si="32"/>
        <v>19.745752420623347</v>
      </c>
      <c r="I218" s="13">
        <f t="shared" si="33"/>
        <v>389.89473865655276</v>
      </c>
      <c r="J218" s="5">
        <f t="shared" si="34"/>
        <v>0.3085273815722398</v>
      </c>
      <c r="K218" s="8">
        <f t="shared" si="30"/>
        <v>1.0381084307166328</v>
      </c>
    </row>
    <row r="219" spans="1:11" ht="15.75" customHeight="1">
      <c r="A219" s="4" t="str">
        <f t="shared" si="27"/>
        <v>Aug</v>
      </c>
      <c r="B219" s="4">
        <v>218</v>
      </c>
      <c r="C219" s="3">
        <v>21768</v>
      </c>
      <c r="D219" s="4">
        <v>45</v>
      </c>
      <c r="E219" s="13">
        <f t="shared" si="28"/>
        <v>42.648781288327662</v>
      </c>
      <c r="F219" s="13">
        <f t="shared" si="29"/>
        <v>44.274059415202721</v>
      </c>
      <c r="G219" s="13">
        <f t="shared" si="31"/>
        <v>0.72594058479727863</v>
      </c>
      <c r="H219" s="13">
        <f t="shared" si="32"/>
        <v>0.72594058479727863</v>
      </c>
      <c r="I219" s="13">
        <f t="shared" si="33"/>
        <v>0.52698973265581484</v>
      </c>
      <c r="J219" s="5">
        <f t="shared" si="34"/>
        <v>1.613201299549508E-2</v>
      </c>
      <c r="K219" s="8">
        <f t="shared" si="30"/>
        <v>1.0381084307166328</v>
      </c>
    </row>
    <row r="220" spans="1:11" ht="15.75" customHeight="1">
      <c r="A220" s="4" t="str">
        <f t="shared" si="27"/>
        <v>Aug</v>
      </c>
      <c r="B220" s="4">
        <v>219</v>
      </c>
      <c r="C220" s="3">
        <v>21769</v>
      </c>
      <c r="D220" s="4">
        <v>34</v>
      </c>
      <c r="E220" s="13">
        <f t="shared" si="28"/>
        <v>42.667865841771075</v>
      </c>
      <c r="F220" s="13">
        <f t="shared" si="29"/>
        <v>44.29387125102879</v>
      </c>
      <c r="G220" s="13">
        <f t="shared" si="31"/>
        <v>-10.29387125102879</v>
      </c>
      <c r="H220" s="13">
        <f t="shared" si="32"/>
        <v>10.29387125102879</v>
      </c>
      <c r="I220" s="13">
        <f t="shared" si="33"/>
        <v>105.96378533275703</v>
      </c>
      <c r="J220" s="5">
        <f t="shared" si="34"/>
        <v>0.30276091914790559</v>
      </c>
      <c r="K220" s="8">
        <f t="shared" si="30"/>
        <v>1.0381084307166328</v>
      </c>
    </row>
    <row r="221" spans="1:11" ht="15.75" customHeight="1">
      <c r="A221" s="4" t="str">
        <f t="shared" si="27"/>
        <v>Aug</v>
      </c>
      <c r="B221" s="4">
        <v>220</v>
      </c>
      <c r="C221" s="3">
        <v>21770</v>
      </c>
      <c r="D221" s="4">
        <v>38</v>
      </c>
      <c r="E221" s="13">
        <f t="shared" si="28"/>
        <v>42.686950395214488</v>
      </c>
      <c r="F221" s="13">
        <f t="shared" si="29"/>
        <v>44.313683086854866</v>
      </c>
      <c r="G221" s="13">
        <f t="shared" si="31"/>
        <v>-6.3136830868548657</v>
      </c>
      <c r="H221" s="13">
        <f t="shared" si="32"/>
        <v>6.3136830868548657</v>
      </c>
      <c r="I221" s="13">
        <f t="shared" si="33"/>
        <v>39.862594121237187</v>
      </c>
      <c r="J221" s="5">
        <f t="shared" si="34"/>
        <v>0.16614955491723329</v>
      </c>
      <c r="K221" s="8">
        <f t="shared" si="30"/>
        <v>1.0381084307166328</v>
      </c>
    </row>
    <row r="222" spans="1:11" ht="15.75" customHeight="1">
      <c r="A222" s="4" t="str">
        <f t="shared" si="27"/>
        <v>Aug</v>
      </c>
      <c r="B222" s="4">
        <v>221</v>
      </c>
      <c r="C222" s="3">
        <v>21771</v>
      </c>
      <c r="D222" s="4">
        <v>44</v>
      </c>
      <c r="E222" s="13">
        <f t="shared" si="28"/>
        <v>42.706034948657901</v>
      </c>
      <c r="F222" s="13">
        <f t="shared" si="29"/>
        <v>44.333494922680934</v>
      </c>
      <c r="G222" s="13">
        <f t="shared" si="31"/>
        <v>-0.33349492268093428</v>
      </c>
      <c r="H222" s="13">
        <f t="shared" si="32"/>
        <v>0.33349492268093428</v>
      </c>
      <c r="I222" s="13">
        <f t="shared" si="33"/>
        <v>0.11121886345396233</v>
      </c>
      <c r="J222" s="5">
        <f t="shared" si="34"/>
        <v>7.5794300609303249E-3</v>
      </c>
      <c r="K222" s="8">
        <f t="shared" si="30"/>
        <v>1.0381084307166328</v>
      </c>
    </row>
    <row r="223" spans="1:11" ht="15.75" customHeight="1">
      <c r="A223" s="4" t="str">
        <f t="shared" si="27"/>
        <v>Aug</v>
      </c>
      <c r="B223" s="4">
        <v>222</v>
      </c>
      <c r="C223" s="3">
        <v>21772</v>
      </c>
      <c r="D223" s="4">
        <v>48</v>
      </c>
      <c r="E223" s="13">
        <f t="shared" si="28"/>
        <v>42.725119502101315</v>
      </c>
      <c r="F223" s="13">
        <f t="shared" si="29"/>
        <v>44.353306758507003</v>
      </c>
      <c r="G223" s="13">
        <f t="shared" si="31"/>
        <v>3.6466932414929971</v>
      </c>
      <c r="H223" s="13">
        <f t="shared" si="32"/>
        <v>3.6466932414929971</v>
      </c>
      <c r="I223" s="13">
        <f t="shared" si="33"/>
        <v>13.298371597550702</v>
      </c>
      <c r="J223" s="5">
        <f t="shared" si="34"/>
        <v>7.5972775864437445E-2</v>
      </c>
      <c r="K223" s="8">
        <f t="shared" si="30"/>
        <v>1.0381084307166328</v>
      </c>
    </row>
    <row r="224" spans="1:11" ht="15.75" customHeight="1">
      <c r="A224" s="4" t="str">
        <f t="shared" si="27"/>
        <v>Aug</v>
      </c>
      <c r="B224" s="4">
        <v>223</v>
      </c>
      <c r="C224" s="3">
        <v>21773</v>
      </c>
      <c r="D224" s="4">
        <v>46</v>
      </c>
      <c r="E224" s="13">
        <f t="shared" si="28"/>
        <v>42.744204055544728</v>
      </c>
      <c r="F224" s="13">
        <f t="shared" si="29"/>
        <v>44.373118594333071</v>
      </c>
      <c r="G224" s="13">
        <f t="shared" si="31"/>
        <v>1.6268814056669285</v>
      </c>
      <c r="H224" s="13">
        <f t="shared" si="32"/>
        <v>1.6268814056669285</v>
      </c>
      <c r="I224" s="13">
        <f t="shared" si="33"/>
        <v>2.6467431081048014</v>
      </c>
      <c r="J224" s="5">
        <f t="shared" si="34"/>
        <v>3.5366987079715841E-2</v>
      </c>
      <c r="K224" s="8">
        <f t="shared" si="30"/>
        <v>1.0381084307166328</v>
      </c>
    </row>
    <row r="225" spans="1:11" ht="15.75" customHeight="1">
      <c r="A225" s="4" t="str">
        <f t="shared" si="27"/>
        <v>Aug</v>
      </c>
      <c r="B225" s="4">
        <v>224</v>
      </c>
      <c r="C225" s="3">
        <v>21774</v>
      </c>
      <c r="D225" s="4">
        <v>44</v>
      </c>
      <c r="E225" s="13">
        <f t="shared" si="28"/>
        <v>42.763288608988141</v>
      </c>
      <c r="F225" s="13">
        <f t="shared" si="29"/>
        <v>44.39293043015914</v>
      </c>
      <c r="G225" s="13">
        <f t="shared" si="31"/>
        <v>-0.39293043015914009</v>
      </c>
      <c r="H225" s="13">
        <f t="shared" si="32"/>
        <v>0.39293043015914009</v>
      </c>
      <c r="I225" s="13">
        <f t="shared" si="33"/>
        <v>0.15439432294504687</v>
      </c>
      <c r="J225" s="5">
        <f t="shared" si="34"/>
        <v>8.9302370490713656E-3</v>
      </c>
      <c r="K225" s="8">
        <f t="shared" si="30"/>
        <v>1.0381084307166328</v>
      </c>
    </row>
    <row r="226" spans="1:11" ht="15.75" customHeight="1">
      <c r="A226" s="4" t="str">
        <f t="shared" si="27"/>
        <v>Aug</v>
      </c>
      <c r="B226" s="4">
        <v>225</v>
      </c>
      <c r="C226" s="3">
        <v>21775</v>
      </c>
      <c r="D226" s="4">
        <v>37</v>
      </c>
      <c r="E226" s="13">
        <f t="shared" si="28"/>
        <v>42.782373162431554</v>
      </c>
      <c r="F226" s="13">
        <f t="shared" si="29"/>
        <v>44.412742265985209</v>
      </c>
      <c r="G226" s="13">
        <f t="shared" si="31"/>
        <v>-7.4127422659852087</v>
      </c>
      <c r="H226" s="13">
        <f t="shared" si="32"/>
        <v>7.4127422659852087</v>
      </c>
      <c r="I226" s="13">
        <f t="shared" si="33"/>
        <v>54.948747901923525</v>
      </c>
      <c r="J226" s="5">
        <f t="shared" si="34"/>
        <v>0.2003443855671678</v>
      </c>
      <c r="K226" s="8">
        <f t="shared" si="30"/>
        <v>1.0381084307166328</v>
      </c>
    </row>
    <row r="227" spans="1:11" ht="15.75" customHeight="1">
      <c r="A227" s="4" t="str">
        <f t="shared" si="27"/>
        <v>Aug</v>
      </c>
      <c r="B227" s="4">
        <v>226</v>
      </c>
      <c r="C227" s="3">
        <v>21776</v>
      </c>
      <c r="D227" s="4">
        <v>39</v>
      </c>
      <c r="E227" s="13">
        <f t="shared" si="28"/>
        <v>42.801457715874967</v>
      </c>
      <c r="F227" s="13">
        <f t="shared" si="29"/>
        <v>44.432554101811277</v>
      </c>
      <c r="G227" s="13">
        <f t="shared" si="31"/>
        <v>-5.4325541018112773</v>
      </c>
      <c r="H227" s="13">
        <f t="shared" si="32"/>
        <v>5.4325541018112773</v>
      </c>
      <c r="I227" s="13">
        <f t="shared" si="33"/>
        <v>29.512644069106535</v>
      </c>
      <c r="J227" s="5">
        <f t="shared" si="34"/>
        <v>0.13929625902080198</v>
      </c>
      <c r="K227" s="8">
        <f t="shared" si="30"/>
        <v>1.0381084307166328</v>
      </c>
    </row>
    <row r="228" spans="1:11" ht="15.75" customHeight="1">
      <c r="A228" s="4" t="str">
        <f t="shared" si="27"/>
        <v>Aug</v>
      </c>
      <c r="B228" s="4">
        <v>227</v>
      </c>
      <c r="C228" s="3">
        <v>21777</v>
      </c>
      <c r="D228" s="4">
        <v>44</v>
      </c>
      <c r="E228" s="13">
        <f t="shared" si="28"/>
        <v>42.820542269318381</v>
      </c>
      <c r="F228" s="13">
        <f t="shared" si="29"/>
        <v>44.452365937637346</v>
      </c>
      <c r="G228" s="13">
        <f t="shared" si="31"/>
        <v>-0.45236593763734589</v>
      </c>
      <c r="H228" s="13">
        <f t="shared" si="32"/>
        <v>0.45236593763734589</v>
      </c>
      <c r="I228" s="13">
        <f t="shared" si="33"/>
        <v>0.20463494153451511</v>
      </c>
      <c r="J228" s="5">
        <f t="shared" si="34"/>
        <v>1.0281044037212406E-2</v>
      </c>
      <c r="K228" s="8">
        <f t="shared" si="30"/>
        <v>1.0381084307166328</v>
      </c>
    </row>
    <row r="229" spans="1:11" ht="15.75" customHeight="1">
      <c r="A229" s="4" t="str">
        <f t="shared" si="27"/>
        <v>Aug</v>
      </c>
      <c r="B229" s="4">
        <v>228</v>
      </c>
      <c r="C229" s="3">
        <v>21778</v>
      </c>
      <c r="D229" s="4">
        <v>45</v>
      </c>
      <c r="E229" s="13">
        <f t="shared" si="28"/>
        <v>42.839626822761794</v>
      </c>
      <c r="F229" s="13">
        <f t="shared" si="29"/>
        <v>44.472177773463414</v>
      </c>
      <c r="G229" s="13">
        <f t="shared" si="31"/>
        <v>0.5278222265365855</v>
      </c>
      <c r="H229" s="13">
        <f t="shared" si="32"/>
        <v>0.5278222265365855</v>
      </c>
      <c r="I229" s="13">
        <f t="shared" si="33"/>
        <v>0.27859630282603859</v>
      </c>
      <c r="J229" s="5">
        <f t="shared" si="34"/>
        <v>1.1729382811924122E-2</v>
      </c>
      <c r="K229" s="8">
        <f t="shared" si="30"/>
        <v>1.0381084307166328</v>
      </c>
    </row>
    <row r="230" spans="1:11" ht="15.75" customHeight="1">
      <c r="A230" s="4" t="str">
        <f t="shared" si="27"/>
        <v>Aug</v>
      </c>
      <c r="B230" s="4">
        <v>229</v>
      </c>
      <c r="C230" s="3">
        <v>21779</v>
      </c>
      <c r="D230" s="4">
        <v>33</v>
      </c>
      <c r="E230" s="13">
        <f t="shared" si="28"/>
        <v>42.858711376205207</v>
      </c>
      <c r="F230" s="13">
        <f t="shared" si="29"/>
        <v>44.491989609289483</v>
      </c>
      <c r="G230" s="13">
        <f t="shared" si="31"/>
        <v>-11.491989609289483</v>
      </c>
      <c r="H230" s="13">
        <f t="shared" si="32"/>
        <v>11.491989609289483</v>
      </c>
      <c r="I230" s="13">
        <f t="shared" si="33"/>
        <v>132.06582518001744</v>
      </c>
      <c r="J230" s="5">
        <f t="shared" si="34"/>
        <v>0.34824210937240857</v>
      </c>
      <c r="K230" s="8">
        <f t="shared" si="30"/>
        <v>1.0381084307166328</v>
      </c>
    </row>
    <row r="231" spans="1:11" ht="15.75" customHeight="1">
      <c r="A231" s="4" t="str">
        <f t="shared" si="27"/>
        <v>Aug</v>
      </c>
      <c r="B231" s="4">
        <v>230</v>
      </c>
      <c r="C231" s="3">
        <v>21780</v>
      </c>
      <c r="D231" s="4">
        <v>44</v>
      </c>
      <c r="E231" s="13">
        <f t="shared" si="28"/>
        <v>42.877795929648613</v>
      </c>
      <c r="F231" s="13">
        <f t="shared" si="29"/>
        <v>44.511801445115552</v>
      </c>
      <c r="G231" s="13">
        <f t="shared" si="31"/>
        <v>-0.5118014451155517</v>
      </c>
      <c r="H231" s="13">
        <f t="shared" si="32"/>
        <v>0.5118014451155517</v>
      </c>
      <c r="I231" s="13">
        <f t="shared" si="33"/>
        <v>0.26194071922236706</v>
      </c>
      <c r="J231" s="5">
        <f t="shared" si="34"/>
        <v>1.1631851025353447E-2</v>
      </c>
      <c r="K231" s="8">
        <f t="shared" si="30"/>
        <v>1.0381084307166328</v>
      </c>
    </row>
    <row r="232" spans="1:11" ht="15.75" customHeight="1">
      <c r="A232" s="4" t="str">
        <f t="shared" si="27"/>
        <v>Aug</v>
      </c>
      <c r="B232" s="4">
        <v>231</v>
      </c>
      <c r="C232" s="3">
        <v>21781</v>
      </c>
      <c r="D232" s="4">
        <v>38</v>
      </c>
      <c r="E232" s="13">
        <f t="shared" si="28"/>
        <v>42.896880483092026</v>
      </c>
      <c r="F232" s="13">
        <f t="shared" si="29"/>
        <v>44.53161328094162</v>
      </c>
      <c r="G232" s="13">
        <f t="shared" si="31"/>
        <v>-6.5316132809416203</v>
      </c>
      <c r="H232" s="13">
        <f t="shared" si="32"/>
        <v>6.5316132809416203</v>
      </c>
      <c r="I232" s="13">
        <f t="shared" si="33"/>
        <v>42.661972051772956</v>
      </c>
      <c r="J232" s="5">
        <f t="shared" si="34"/>
        <v>0.17188456002477948</v>
      </c>
      <c r="K232" s="8">
        <f t="shared" si="30"/>
        <v>1.0381084307166328</v>
      </c>
    </row>
    <row r="233" spans="1:11" ht="15.75" customHeight="1">
      <c r="A233" s="4" t="str">
        <f t="shared" si="27"/>
        <v>Aug</v>
      </c>
      <c r="B233" s="4">
        <v>232</v>
      </c>
      <c r="C233" s="3">
        <v>21782</v>
      </c>
      <c r="D233" s="4">
        <v>46</v>
      </c>
      <c r="E233" s="13">
        <f t="shared" si="28"/>
        <v>42.915965036535439</v>
      </c>
      <c r="F233" s="13">
        <f t="shared" si="29"/>
        <v>44.551425116767689</v>
      </c>
      <c r="G233" s="13">
        <f t="shared" si="31"/>
        <v>1.4485748832323111</v>
      </c>
      <c r="H233" s="13">
        <f t="shared" si="32"/>
        <v>1.4485748832323111</v>
      </c>
      <c r="I233" s="13">
        <f t="shared" si="33"/>
        <v>2.0983691923315035</v>
      </c>
      <c r="J233" s="5">
        <f t="shared" si="34"/>
        <v>3.1490758331137195E-2</v>
      </c>
      <c r="K233" s="8">
        <f t="shared" si="30"/>
        <v>1.0381084307166328</v>
      </c>
    </row>
    <row r="234" spans="1:11" ht="15.75" customHeight="1">
      <c r="A234" s="4" t="str">
        <f t="shared" si="27"/>
        <v>Aug</v>
      </c>
      <c r="B234" s="4">
        <v>233</v>
      </c>
      <c r="C234" s="3">
        <v>21783</v>
      </c>
      <c r="D234" s="4">
        <v>46</v>
      </c>
      <c r="E234" s="13">
        <f t="shared" si="28"/>
        <v>42.935049589978853</v>
      </c>
      <c r="F234" s="13">
        <f t="shared" si="29"/>
        <v>44.571236952593758</v>
      </c>
      <c r="G234" s="13">
        <f t="shared" si="31"/>
        <v>1.4287630474062425</v>
      </c>
      <c r="H234" s="13">
        <f t="shared" si="32"/>
        <v>1.4287630474062425</v>
      </c>
      <c r="I234" s="13">
        <f t="shared" si="33"/>
        <v>2.0413638456335725</v>
      </c>
      <c r="J234" s="5">
        <f t="shared" si="34"/>
        <v>3.1060066247961794E-2</v>
      </c>
      <c r="K234" s="8">
        <f t="shared" si="30"/>
        <v>1.0381084307166328</v>
      </c>
    </row>
    <row r="235" spans="1:11" ht="15.75" customHeight="1">
      <c r="A235" s="4" t="str">
        <f t="shared" si="27"/>
        <v>Aug</v>
      </c>
      <c r="B235" s="4">
        <v>234</v>
      </c>
      <c r="C235" s="3">
        <v>21784</v>
      </c>
      <c r="D235" s="4">
        <v>40</v>
      </c>
      <c r="E235" s="13">
        <f t="shared" si="28"/>
        <v>42.954134143422266</v>
      </c>
      <c r="F235" s="13">
        <f t="shared" si="29"/>
        <v>44.591048788419826</v>
      </c>
      <c r="G235" s="13">
        <f t="shared" si="31"/>
        <v>-4.5910487884198261</v>
      </c>
      <c r="H235" s="13">
        <f t="shared" si="32"/>
        <v>4.5910487884198261</v>
      </c>
      <c r="I235" s="13">
        <f t="shared" si="33"/>
        <v>21.077728977651152</v>
      </c>
      <c r="J235" s="5">
        <f t="shared" si="34"/>
        <v>0.11477621971049565</v>
      </c>
      <c r="K235" s="8">
        <f t="shared" si="30"/>
        <v>1.0381084307166328</v>
      </c>
    </row>
    <row r="236" spans="1:11" ht="15.75" customHeight="1">
      <c r="A236" s="4" t="str">
        <f t="shared" si="27"/>
        <v>Aug</v>
      </c>
      <c r="B236" s="4">
        <v>235</v>
      </c>
      <c r="C236" s="3">
        <v>21785</v>
      </c>
      <c r="D236" s="4">
        <v>39</v>
      </c>
      <c r="E236" s="13">
        <f t="shared" si="28"/>
        <v>42.973218696865679</v>
      </c>
      <c r="F236" s="13">
        <f t="shared" si="29"/>
        <v>44.610860624245895</v>
      </c>
      <c r="G236" s="13">
        <f t="shared" si="31"/>
        <v>-5.6108606242458947</v>
      </c>
      <c r="H236" s="13">
        <f t="shared" si="32"/>
        <v>5.6108606242458947</v>
      </c>
      <c r="I236" s="13">
        <f t="shared" si="33"/>
        <v>31.48175694471303</v>
      </c>
      <c r="J236" s="5">
        <f t="shared" si="34"/>
        <v>0.14386822113451012</v>
      </c>
      <c r="K236" s="8">
        <f t="shared" si="30"/>
        <v>1.0381084307166328</v>
      </c>
    </row>
    <row r="237" spans="1:11" ht="15.75" customHeight="1">
      <c r="A237" s="4" t="str">
        <f t="shared" si="27"/>
        <v>Aug</v>
      </c>
      <c r="B237" s="4">
        <v>236</v>
      </c>
      <c r="C237" s="3">
        <v>21786</v>
      </c>
      <c r="D237" s="4">
        <v>44</v>
      </c>
      <c r="E237" s="13">
        <f t="shared" si="28"/>
        <v>42.992303250309092</v>
      </c>
      <c r="F237" s="13">
        <f t="shared" si="29"/>
        <v>44.630672460071963</v>
      </c>
      <c r="G237" s="13">
        <f t="shared" si="31"/>
        <v>-0.63067246007196331</v>
      </c>
      <c r="H237" s="13">
        <f t="shared" si="32"/>
        <v>0.63067246007196331</v>
      </c>
      <c r="I237" s="13">
        <f t="shared" si="33"/>
        <v>0.39774775189322215</v>
      </c>
      <c r="J237" s="5">
        <f t="shared" si="34"/>
        <v>1.433346500163553E-2</v>
      </c>
      <c r="K237" s="8">
        <f t="shared" si="30"/>
        <v>1.0381084307166328</v>
      </c>
    </row>
    <row r="238" spans="1:11" ht="15.75" customHeight="1">
      <c r="A238" s="4" t="str">
        <f t="shared" si="27"/>
        <v>Aug</v>
      </c>
      <c r="B238" s="4">
        <v>237</v>
      </c>
      <c r="C238" s="3">
        <v>21787</v>
      </c>
      <c r="D238" s="4">
        <v>48</v>
      </c>
      <c r="E238" s="13">
        <f t="shared" si="28"/>
        <v>43.011387803752505</v>
      </c>
      <c r="F238" s="13">
        <f t="shared" si="29"/>
        <v>44.650484295898032</v>
      </c>
      <c r="G238" s="13">
        <f t="shared" si="31"/>
        <v>3.3495157041019681</v>
      </c>
      <c r="H238" s="13">
        <f t="shared" si="32"/>
        <v>3.3495157041019681</v>
      </c>
      <c r="I238" s="13">
        <f t="shared" si="33"/>
        <v>11.219255452025703</v>
      </c>
      <c r="J238" s="5">
        <f t="shared" si="34"/>
        <v>6.9781577168791006E-2</v>
      </c>
      <c r="K238" s="8">
        <f t="shared" si="30"/>
        <v>1.0381084307166328</v>
      </c>
    </row>
    <row r="239" spans="1:11" ht="15.75" customHeight="1">
      <c r="A239" s="4" t="str">
        <f t="shared" si="27"/>
        <v>Aug</v>
      </c>
      <c r="B239" s="4">
        <v>238</v>
      </c>
      <c r="C239" s="3">
        <v>21788</v>
      </c>
      <c r="D239" s="4">
        <v>50</v>
      </c>
      <c r="E239" s="13">
        <f t="shared" si="28"/>
        <v>43.030472357195919</v>
      </c>
      <c r="F239" s="13">
        <f t="shared" si="29"/>
        <v>44.670296131724101</v>
      </c>
      <c r="G239" s="13">
        <f t="shared" si="31"/>
        <v>5.3297038682758995</v>
      </c>
      <c r="H239" s="13">
        <f t="shared" si="32"/>
        <v>5.3297038682758995</v>
      </c>
      <c r="I239" s="13">
        <f t="shared" si="33"/>
        <v>28.405743323515086</v>
      </c>
      <c r="J239" s="5">
        <f t="shared" si="34"/>
        <v>0.10659407736551799</v>
      </c>
      <c r="K239" s="8">
        <f t="shared" si="30"/>
        <v>1.0381084307166328</v>
      </c>
    </row>
    <row r="240" spans="1:11" ht="15.75" customHeight="1">
      <c r="A240" s="4" t="str">
        <f t="shared" si="27"/>
        <v>Aug</v>
      </c>
      <c r="B240" s="4">
        <v>239</v>
      </c>
      <c r="C240" s="3">
        <v>21789</v>
      </c>
      <c r="D240" s="4">
        <v>41</v>
      </c>
      <c r="E240" s="13">
        <f t="shared" si="28"/>
        <v>43.049556910639332</v>
      </c>
      <c r="F240" s="13">
        <f t="shared" si="29"/>
        <v>44.690107967550176</v>
      </c>
      <c r="G240" s="13">
        <f t="shared" si="31"/>
        <v>-3.6901079675501762</v>
      </c>
      <c r="H240" s="13">
        <f t="shared" si="32"/>
        <v>3.6901079675501762</v>
      </c>
      <c r="I240" s="13">
        <f t="shared" si="33"/>
        <v>13.616896812177293</v>
      </c>
      <c r="J240" s="5">
        <f t="shared" si="34"/>
        <v>9.0002633354882344E-2</v>
      </c>
      <c r="K240" s="8">
        <f t="shared" si="30"/>
        <v>1.0381084307166328</v>
      </c>
    </row>
    <row r="241" spans="1:11" ht="15.75" customHeight="1">
      <c r="A241" s="4" t="str">
        <f t="shared" si="27"/>
        <v>Aug</v>
      </c>
      <c r="B241" s="4">
        <v>240</v>
      </c>
      <c r="C241" s="3">
        <v>21790</v>
      </c>
      <c r="D241" s="4">
        <v>42</v>
      </c>
      <c r="E241" s="13">
        <f t="shared" si="28"/>
        <v>43.068641464082745</v>
      </c>
      <c r="F241" s="13">
        <f t="shared" si="29"/>
        <v>44.709919803376245</v>
      </c>
      <c r="G241" s="13">
        <f t="shared" si="31"/>
        <v>-2.7099198033762448</v>
      </c>
      <c r="H241" s="13">
        <f t="shared" si="32"/>
        <v>2.7099198033762448</v>
      </c>
      <c r="I241" s="13">
        <f t="shared" si="33"/>
        <v>7.3436653407307455</v>
      </c>
      <c r="J241" s="5">
        <f t="shared" si="34"/>
        <v>6.4521900080386788E-2</v>
      </c>
      <c r="K241" s="8">
        <f t="shared" si="30"/>
        <v>1.0381084307166328</v>
      </c>
    </row>
    <row r="242" spans="1:11" ht="15.75" customHeight="1">
      <c r="A242" s="4" t="str">
        <f t="shared" si="27"/>
        <v>Aug</v>
      </c>
      <c r="B242" s="4">
        <v>241</v>
      </c>
      <c r="C242" s="3">
        <v>21791</v>
      </c>
      <c r="D242" s="4">
        <v>51</v>
      </c>
      <c r="E242" s="13">
        <f t="shared" si="28"/>
        <v>43.087726017526158</v>
      </c>
      <c r="F242" s="13">
        <f t="shared" si="29"/>
        <v>44.729731639202313</v>
      </c>
      <c r="G242" s="13">
        <f t="shared" si="31"/>
        <v>6.2702683607976866</v>
      </c>
      <c r="H242" s="13">
        <f t="shared" si="32"/>
        <v>6.2702683607976866</v>
      </c>
      <c r="I242" s="13">
        <f t="shared" si="33"/>
        <v>39.316265316420505</v>
      </c>
      <c r="J242" s="5">
        <f t="shared" si="34"/>
        <v>0.12294643844701346</v>
      </c>
      <c r="K242" s="8">
        <f t="shared" si="30"/>
        <v>1.0381084307166328</v>
      </c>
    </row>
    <row r="243" spans="1:11" ht="15.75" customHeight="1">
      <c r="A243" s="4" t="str">
        <f t="shared" si="27"/>
        <v>Aug</v>
      </c>
      <c r="B243" s="4">
        <v>242</v>
      </c>
      <c r="C243" s="3">
        <v>21792</v>
      </c>
      <c r="D243" s="4">
        <v>41</v>
      </c>
      <c r="E243" s="13">
        <f t="shared" si="28"/>
        <v>43.106810570969571</v>
      </c>
      <c r="F243" s="13">
        <f t="shared" si="29"/>
        <v>44.749543475028382</v>
      </c>
      <c r="G243" s="13">
        <f t="shared" si="31"/>
        <v>-3.749543475028382</v>
      </c>
      <c r="H243" s="13">
        <f t="shared" si="32"/>
        <v>3.749543475028382</v>
      </c>
      <c r="I243" s="13">
        <f t="shared" si="33"/>
        <v>14.059076271127916</v>
      </c>
      <c r="J243" s="5">
        <f t="shared" si="34"/>
        <v>9.1452279878741022E-2</v>
      </c>
      <c r="K243" s="8">
        <f t="shared" si="30"/>
        <v>1.0381084307166328</v>
      </c>
    </row>
    <row r="244" spans="1:11" ht="15.75" customHeight="1">
      <c r="A244" s="4" t="str">
        <f t="shared" si="27"/>
        <v>Aug</v>
      </c>
      <c r="B244" s="4">
        <v>243</v>
      </c>
      <c r="C244" s="3">
        <v>21793</v>
      </c>
      <c r="D244" s="4">
        <v>44</v>
      </c>
      <c r="E244" s="13">
        <f t="shared" si="28"/>
        <v>43.125895124412978</v>
      </c>
      <c r="F244" s="13">
        <f t="shared" si="29"/>
        <v>44.769355310854444</v>
      </c>
      <c r="G244" s="13">
        <f t="shared" si="31"/>
        <v>-0.76935531085444353</v>
      </c>
      <c r="H244" s="13">
        <f t="shared" si="32"/>
        <v>0.76935531085444353</v>
      </c>
      <c r="I244" s="13">
        <f t="shared" si="33"/>
        <v>0.59190759433993745</v>
      </c>
      <c r="J244" s="5">
        <f t="shared" si="34"/>
        <v>1.7485347973964626E-2</v>
      </c>
      <c r="K244" s="8">
        <f t="shared" si="30"/>
        <v>1.0381084307166328</v>
      </c>
    </row>
    <row r="245" spans="1:11" ht="15.75" customHeight="1">
      <c r="A245" s="4" t="str">
        <f t="shared" si="27"/>
        <v>Sep</v>
      </c>
      <c r="B245" s="4">
        <v>244</v>
      </c>
      <c r="C245" s="3">
        <v>21794</v>
      </c>
      <c r="D245" s="4">
        <v>38</v>
      </c>
      <c r="E245" s="13">
        <f t="shared" si="28"/>
        <v>43.144979677856391</v>
      </c>
      <c r="F245" s="13">
        <f t="shared" si="29"/>
        <v>49.536619948608461</v>
      </c>
      <c r="G245" s="13">
        <f t="shared" si="31"/>
        <v>-11.536619948608461</v>
      </c>
      <c r="H245" s="13">
        <f t="shared" si="32"/>
        <v>11.536619948608461</v>
      </c>
      <c r="I245" s="13">
        <f t="shared" si="33"/>
        <v>133.09359983863069</v>
      </c>
      <c r="J245" s="5">
        <f t="shared" si="34"/>
        <v>0.30359526180548579</v>
      </c>
      <c r="K245" s="8">
        <f t="shared" si="30"/>
        <v>1.1481433139724597</v>
      </c>
    </row>
    <row r="246" spans="1:11" ht="15.75" customHeight="1">
      <c r="A246" s="4" t="str">
        <f t="shared" si="27"/>
        <v>Sep</v>
      </c>
      <c r="B246" s="4">
        <v>245</v>
      </c>
      <c r="C246" s="3">
        <v>21795</v>
      </c>
      <c r="D246" s="4">
        <v>68</v>
      </c>
      <c r="E246" s="13">
        <f t="shared" si="28"/>
        <v>43.164064231299804</v>
      </c>
      <c r="F246" s="13">
        <f t="shared" si="29"/>
        <v>49.558531751044669</v>
      </c>
      <c r="G246" s="13">
        <f t="shared" si="31"/>
        <v>18.441468248955331</v>
      </c>
      <c r="H246" s="13">
        <f t="shared" si="32"/>
        <v>18.441468248955331</v>
      </c>
      <c r="I246" s="13">
        <f t="shared" si="33"/>
        <v>340.08775117722763</v>
      </c>
      <c r="J246" s="5">
        <f t="shared" si="34"/>
        <v>0.27119806248463724</v>
      </c>
      <c r="K246" s="8">
        <f t="shared" si="30"/>
        <v>1.1481433139724597</v>
      </c>
    </row>
    <row r="247" spans="1:11" ht="15.75" customHeight="1">
      <c r="A247" s="4" t="str">
        <f t="shared" si="27"/>
        <v>Sep</v>
      </c>
      <c r="B247" s="4">
        <v>246</v>
      </c>
      <c r="C247" s="3">
        <v>21796</v>
      </c>
      <c r="D247" s="4">
        <v>40</v>
      </c>
      <c r="E247" s="13">
        <f t="shared" si="28"/>
        <v>43.183148784743217</v>
      </c>
      <c r="F247" s="13">
        <f t="shared" si="29"/>
        <v>49.580443553480876</v>
      </c>
      <c r="G247" s="13">
        <f t="shared" si="31"/>
        <v>-9.5804435534808761</v>
      </c>
      <c r="H247" s="13">
        <f t="shared" si="32"/>
        <v>9.5804435534808761</v>
      </c>
      <c r="I247" s="13">
        <f t="shared" si="33"/>
        <v>91.784898681433276</v>
      </c>
      <c r="J247" s="5">
        <f t="shared" si="34"/>
        <v>0.23951108883702191</v>
      </c>
      <c r="K247" s="8">
        <f t="shared" si="30"/>
        <v>1.1481433139724597</v>
      </c>
    </row>
    <row r="248" spans="1:11" ht="15.75" customHeight="1">
      <c r="A248" s="4" t="str">
        <f t="shared" si="27"/>
        <v>Sep</v>
      </c>
      <c r="B248" s="4">
        <v>247</v>
      </c>
      <c r="C248" s="3">
        <v>21797</v>
      </c>
      <c r="D248" s="4">
        <v>42</v>
      </c>
      <c r="E248" s="13">
        <f t="shared" si="28"/>
        <v>43.20223333818663</v>
      </c>
      <c r="F248" s="13">
        <f t="shared" si="29"/>
        <v>49.602355355917076</v>
      </c>
      <c r="G248" s="13">
        <f t="shared" si="31"/>
        <v>-7.6023553559170765</v>
      </c>
      <c r="H248" s="13">
        <f t="shared" si="32"/>
        <v>7.6023553559170765</v>
      </c>
      <c r="I248" s="13">
        <f t="shared" si="33"/>
        <v>57.795806957641055</v>
      </c>
      <c r="J248" s="5">
        <f t="shared" si="34"/>
        <v>0.18100846085516847</v>
      </c>
      <c r="K248" s="8">
        <f t="shared" si="30"/>
        <v>1.1481433139724597</v>
      </c>
    </row>
    <row r="249" spans="1:11" ht="15.75" customHeight="1">
      <c r="A249" s="4" t="str">
        <f t="shared" si="27"/>
        <v>Sep</v>
      </c>
      <c r="B249" s="4">
        <v>248</v>
      </c>
      <c r="C249" s="3">
        <v>21798</v>
      </c>
      <c r="D249" s="4">
        <v>51</v>
      </c>
      <c r="E249" s="13">
        <f t="shared" si="28"/>
        <v>43.221317891630044</v>
      </c>
      <c r="F249" s="13">
        <f t="shared" si="29"/>
        <v>49.624267158353284</v>
      </c>
      <c r="G249" s="13">
        <f t="shared" si="31"/>
        <v>1.3757328416467161</v>
      </c>
      <c r="H249" s="13">
        <f t="shared" si="32"/>
        <v>1.3757328416467161</v>
      </c>
      <c r="I249" s="13">
        <f t="shared" si="33"/>
        <v>1.8926408515853483</v>
      </c>
      <c r="J249" s="5">
        <f t="shared" si="34"/>
        <v>2.6975153757778748E-2</v>
      </c>
      <c r="K249" s="8">
        <f t="shared" si="30"/>
        <v>1.1481433139724597</v>
      </c>
    </row>
    <row r="250" spans="1:11" ht="15.75" customHeight="1">
      <c r="A250" s="4" t="str">
        <f t="shared" si="27"/>
        <v>Sep</v>
      </c>
      <c r="B250" s="4">
        <v>249</v>
      </c>
      <c r="C250" s="3">
        <v>21799</v>
      </c>
      <c r="D250" s="4">
        <v>44</v>
      </c>
      <c r="E250" s="13">
        <f t="shared" si="28"/>
        <v>43.240402445073457</v>
      </c>
      <c r="F250" s="13">
        <f t="shared" si="29"/>
        <v>49.646178960789491</v>
      </c>
      <c r="G250" s="13">
        <f t="shared" si="31"/>
        <v>-5.6461789607894914</v>
      </c>
      <c r="H250" s="13">
        <f t="shared" si="32"/>
        <v>5.6461789607894914</v>
      </c>
      <c r="I250" s="13">
        <f t="shared" si="33"/>
        <v>31.879336857261901</v>
      </c>
      <c r="J250" s="5">
        <f t="shared" si="34"/>
        <v>0.12832224910885207</v>
      </c>
      <c r="K250" s="8">
        <f t="shared" si="30"/>
        <v>1.1481433139724597</v>
      </c>
    </row>
    <row r="251" spans="1:11" ht="15.75" customHeight="1">
      <c r="A251" s="4" t="str">
        <f t="shared" si="27"/>
        <v>Sep</v>
      </c>
      <c r="B251" s="4">
        <v>250</v>
      </c>
      <c r="C251" s="3">
        <v>21800</v>
      </c>
      <c r="D251" s="4">
        <v>45</v>
      </c>
      <c r="E251" s="13">
        <f t="shared" si="28"/>
        <v>43.25948699851687</v>
      </c>
      <c r="F251" s="13">
        <f t="shared" si="29"/>
        <v>49.668090763225692</v>
      </c>
      <c r="G251" s="13">
        <f t="shared" si="31"/>
        <v>-4.6680907632256918</v>
      </c>
      <c r="H251" s="13">
        <f t="shared" si="32"/>
        <v>4.6680907632256918</v>
      </c>
      <c r="I251" s="13">
        <f t="shared" si="33"/>
        <v>21.791071373713024</v>
      </c>
      <c r="J251" s="5">
        <f t="shared" si="34"/>
        <v>0.10373535029390427</v>
      </c>
      <c r="K251" s="8">
        <f t="shared" si="30"/>
        <v>1.1481433139724597</v>
      </c>
    </row>
    <row r="252" spans="1:11" ht="15.75" customHeight="1">
      <c r="A252" s="4" t="str">
        <f t="shared" si="27"/>
        <v>Sep</v>
      </c>
      <c r="B252" s="4">
        <v>251</v>
      </c>
      <c r="C252" s="3">
        <v>21801</v>
      </c>
      <c r="D252" s="4">
        <v>36</v>
      </c>
      <c r="E252" s="13">
        <f t="shared" si="28"/>
        <v>43.278571551960283</v>
      </c>
      <c r="F252" s="13">
        <f t="shared" si="29"/>
        <v>49.690002565661899</v>
      </c>
      <c r="G252" s="13">
        <f t="shared" si="31"/>
        <v>-13.690002565661899</v>
      </c>
      <c r="H252" s="13">
        <f t="shared" si="32"/>
        <v>13.690002565661899</v>
      </c>
      <c r="I252" s="13">
        <f t="shared" si="33"/>
        <v>187.4161702478294</v>
      </c>
      <c r="J252" s="5">
        <f t="shared" si="34"/>
        <v>0.38027784904616385</v>
      </c>
      <c r="K252" s="8">
        <f t="shared" si="30"/>
        <v>1.1481433139724597</v>
      </c>
    </row>
    <row r="253" spans="1:11" ht="15.75" customHeight="1">
      <c r="A253" s="4" t="str">
        <f t="shared" si="27"/>
        <v>Sep</v>
      </c>
      <c r="B253" s="4">
        <v>252</v>
      </c>
      <c r="C253" s="3">
        <v>21802</v>
      </c>
      <c r="D253" s="4">
        <v>57</v>
      </c>
      <c r="E253" s="13">
        <f t="shared" si="28"/>
        <v>43.297656105403696</v>
      </c>
      <c r="F253" s="13">
        <f t="shared" si="29"/>
        <v>49.711914368098107</v>
      </c>
      <c r="G253" s="13">
        <f t="shared" si="31"/>
        <v>7.2880856319018932</v>
      </c>
      <c r="H253" s="13">
        <f t="shared" si="32"/>
        <v>7.2880856319018932</v>
      </c>
      <c r="I253" s="13">
        <f t="shared" si="33"/>
        <v>53.116192177934821</v>
      </c>
      <c r="J253" s="5">
        <f t="shared" si="34"/>
        <v>0.12786115143687532</v>
      </c>
      <c r="K253" s="8">
        <f t="shared" si="30"/>
        <v>1.1481433139724597</v>
      </c>
    </row>
    <row r="254" spans="1:11" ht="15.75" customHeight="1">
      <c r="A254" s="4" t="str">
        <f t="shared" si="27"/>
        <v>Sep</v>
      </c>
      <c r="B254" s="4">
        <v>253</v>
      </c>
      <c r="C254" s="3">
        <v>21803</v>
      </c>
      <c r="D254" s="4">
        <v>44</v>
      </c>
      <c r="E254" s="13">
        <f t="shared" si="28"/>
        <v>43.31674065884711</v>
      </c>
      <c r="F254" s="13">
        <f t="shared" si="29"/>
        <v>49.733826170534307</v>
      </c>
      <c r="G254" s="13">
        <f t="shared" si="31"/>
        <v>-5.7338261705343072</v>
      </c>
      <c r="H254" s="13">
        <f t="shared" si="32"/>
        <v>5.7338261705343072</v>
      </c>
      <c r="I254" s="13">
        <f t="shared" si="33"/>
        <v>32.876762553904115</v>
      </c>
      <c r="J254" s="5">
        <f t="shared" si="34"/>
        <v>0.13031423114850699</v>
      </c>
      <c r="K254" s="8">
        <f t="shared" si="30"/>
        <v>1.1481433139724597</v>
      </c>
    </row>
    <row r="255" spans="1:11" ht="15.75" customHeight="1">
      <c r="A255" s="4" t="str">
        <f t="shared" si="27"/>
        <v>Sep</v>
      </c>
      <c r="B255" s="4">
        <v>254</v>
      </c>
      <c r="C255" s="3">
        <v>21804</v>
      </c>
      <c r="D255" s="4">
        <v>42</v>
      </c>
      <c r="E255" s="13">
        <f t="shared" si="28"/>
        <v>43.335825212290516</v>
      </c>
      <c r="F255" s="13">
        <f t="shared" si="29"/>
        <v>49.755737972970508</v>
      </c>
      <c r="G255" s="13">
        <f t="shared" si="31"/>
        <v>-7.7557379729705076</v>
      </c>
      <c r="H255" s="13">
        <f t="shared" si="32"/>
        <v>7.7557379729705076</v>
      </c>
      <c r="I255" s="13">
        <f t="shared" si="33"/>
        <v>60.151471505376676</v>
      </c>
      <c r="J255" s="5">
        <f t="shared" si="34"/>
        <v>0.18466042792786924</v>
      </c>
      <c r="K255" s="8">
        <f t="shared" si="30"/>
        <v>1.1481433139724597</v>
      </c>
    </row>
    <row r="256" spans="1:11" ht="15.75" customHeight="1">
      <c r="A256" s="4" t="str">
        <f t="shared" si="27"/>
        <v>Sep</v>
      </c>
      <c r="B256" s="4">
        <v>255</v>
      </c>
      <c r="C256" s="3">
        <v>21805</v>
      </c>
      <c r="D256" s="4">
        <v>53</v>
      </c>
      <c r="E256" s="13">
        <f t="shared" si="28"/>
        <v>43.354909765733936</v>
      </c>
      <c r="F256" s="13">
        <f t="shared" si="29"/>
        <v>49.777649775406715</v>
      </c>
      <c r="G256" s="13">
        <f t="shared" si="31"/>
        <v>3.2223502245932849</v>
      </c>
      <c r="H256" s="13">
        <f t="shared" si="32"/>
        <v>3.2223502245932849</v>
      </c>
      <c r="I256" s="13">
        <f t="shared" si="33"/>
        <v>10.383540969936394</v>
      </c>
      <c r="J256" s="5">
        <f t="shared" si="34"/>
        <v>6.0799060841382736E-2</v>
      </c>
      <c r="K256" s="8">
        <f t="shared" si="30"/>
        <v>1.1481433139724597</v>
      </c>
    </row>
    <row r="257" spans="1:11" ht="15.75" customHeight="1">
      <c r="A257" s="4" t="str">
        <f t="shared" si="27"/>
        <v>Sep</v>
      </c>
      <c r="B257" s="4">
        <v>256</v>
      </c>
      <c r="C257" s="3">
        <v>21806</v>
      </c>
      <c r="D257" s="4">
        <v>42</v>
      </c>
      <c r="E257" s="13">
        <f t="shared" si="28"/>
        <v>43.373994319177342</v>
      </c>
      <c r="F257" s="13">
        <f t="shared" si="29"/>
        <v>49.799561577842915</v>
      </c>
      <c r="G257" s="13">
        <f t="shared" si="31"/>
        <v>-7.7995615778429155</v>
      </c>
      <c r="H257" s="13">
        <f t="shared" si="32"/>
        <v>7.7995615778429155</v>
      </c>
      <c r="I257" s="13">
        <f t="shared" si="33"/>
        <v>60.83316080656347</v>
      </c>
      <c r="J257" s="5">
        <f t="shared" si="34"/>
        <v>0.18570384709149798</v>
      </c>
      <c r="K257" s="8">
        <f t="shared" si="30"/>
        <v>1.1481433139724597</v>
      </c>
    </row>
    <row r="258" spans="1:11" ht="15.75" customHeight="1">
      <c r="A258" s="4" t="str">
        <f t="shared" ref="A258:A321" si="35">IF(MONTH(C258)=1, "Jan",  IF(MONTH(C258) = 2, "Feb", IF(MONTH(C258) = 3, "Mar", IF(MONTH(C258) = 4, "Apr", IF(MONTH(C258) = 5, "May", IF(MONTH(C258) = 6, "Jun", IF(MONTH(C258) = 7, "Jul", IF(MONTH(C258) = 8, "Aug", IF(MONTH(C258) = 9, "Sep", IF(MONTH(C258) = 10, "Oct", IF(MONTH(C258) = 11, "Nov", "Dec")))))))))))</f>
        <v>Sep</v>
      </c>
      <c r="B258" s="4">
        <v>257</v>
      </c>
      <c r="C258" s="3">
        <v>21807</v>
      </c>
      <c r="D258" s="4">
        <v>34</v>
      </c>
      <c r="E258" s="13">
        <f t="shared" ref="E258:E321" si="36">$O$2+($O$3*B258)</f>
        <v>43.393078872620755</v>
      </c>
      <c r="F258" s="13">
        <f t="shared" ref="F258:F321" si="37">E258*K258</f>
        <v>49.821473380279123</v>
      </c>
      <c r="G258" s="13">
        <f t="shared" si="31"/>
        <v>-15.821473380279123</v>
      </c>
      <c r="H258" s="13">
        <f t="shared" si="32"/>
        <v>15.821473380279123</v>
      </c>
      <c r="I258" s="13">
        <f t="shared" si="33"/>
        <v>250.3190199228809</v>
      </c>
      <c r="J258" s="5">
        <f t="shared" si="34"/>
        <v>0.46533745236115065</v>
      </c>
      <c r="K258" s="8">
        <f t="shared" ref="K258:K321" si="38">VLOOKUP(A258,$V$7:$Y$19,4,FALSE)</f>
        <v>1.1481433139724597</v>
      </c>
    </row>
    <row r="259" spans="1:11" ht="15.75" customHeight="1">
      <c r="A259" s="4" t="str">
        <f t="shared" si="35"/>
        <v>Sep</v>
      </c>
      <c r="B259" s="4">
        <v>258</v>
      </c>
      <c r="C259" s="3">
        <v>21808</v>
      </c>
      <c r="D259" s="4">
        <v>40</v>
      </c>
      <c r="E259" s="13">
        <f t="shared" si="36"/>
        <v>43.412163426064168</v>
      </c>
      <c r="F259" s="13">
        <f t="shared" si="37"/>
        <v>49.843385182715323</v>
      </c>
      <c r="G259" s="13">
        <f t="shared" ref="G259:G322" si="39">D259-F259</f>
        <v>-9.8433851827153234</v>
      </c>
      <c r="H259" s="13">
        <f t="shared" ref="H259:H322" si="40">ABS(G259)</f>
        <v>9.8433851827153234</v>
      </c>
      <c r="I259" s="13">
        <f t="shared" ref="I259:I322" si="41">H259^2</f>
        <v>96.892231855299585</v>
      </c>
      <c r="J259" s="5">
        <f t="shared" ref="J259:J322" si="42">H259/D259</f>
        <v>0.24608462956788307</v>
      </c>
      <c r="K259" s="8">
        <f t="shared" si="38"/>
        <v>1.1481433139724597</v>
      </c>
    </row>
    <row r="260" spans="1:11" ht="15.75" customHeight="1">
      <c r="A260" s="4" t="str">
        <f t="shared" si="35"/>
        <v>Sep</v>
      </c>
      <c r="B260" s="4">
        <v>259</v>
      </c>
      <c r="C260" s="3">
        <v>21809</v>
      </c>
      <c r="D260" s="4">
        <v>56</v>
      </c>
      <c r="E260" s="13">
        <f t="shared" si="36"/>
        <v>43.431247979507582</v>
      </c>
      <c r="F260" s="13">
        <f t="shared" si="37"/>
        <v>49.865296985151531</v>
      </c>
      <c r="G260" s="13">
        <f t="shared" si="39"/>
        <v>6.1347030148484691</v>
      </c>
      <c r="H260" s="13">
        <f t="shared" si="40"/>
        <v>6.1347030148484691</v>
      </c>
      <c r="I260" s="13">
        <f t="shared" si="41"/>
        <v>37.634581080390895</v>
      </c>
      <c r="J260" s="5">
        <f t="shared" si="42"/>
        <v>0.1095482681222941</v>
      </c>
      <c r="K260" s="8">
        <f t="shared" si="38"/>
        <v>1.1481433139724597</v>
      </c>
    </row>
    <row r="261" spans="1:11" ht="15.75" customHeight="1">
      <c r="A261" s="4" t="str">
        <f t="shared" si="35"/>
        <v>Sep</v>
      </c>
      <c r="B261" s="4">
        <v>260</v>
      </c>
      <c r="C261" s="3">
        <v>21810</v>
      </c>
      <c r="D261" s="4">
        <v>44</v>
      </c>
      <c r="E261" s="13">
        <f t="shared" si="36"/>
        <v>43.450332532950995</v>
      </c>
      <c r="F261" s="13">
        <f t="shared" si="37"/>
        <v>49.887208787587738</v>
      </c>
      <c r="G261" s="13">
        <f t="shared" si="39"/>
        <v>-5.8872087875877384</v>
      </c>
      <c r="H261" s="13">
        <f t="shared" si="40"/>
        <v>5.8872087875877384</v>
      </c>
      <c r="I261" s="13">
        <f t="shared" si="41"/>
        <v>34.659227308650287</v>
      </c>
      <c r="J261" s="5">
        <f t="shared" si="42"/>
        <v>0.13380019971790313</v>
      </c>
      <c r="K261" s="8">
        <f t="shared" si="38"/>
        <v>1.1481433139724597</v>
      </c>
    </row>
    <row r="262" spans="1:11" ht="15.75" customHeight="1">
      <c r="A262" s="4" t="str">
        <f t="shared" si="35"/>
        <v>Sep</v>
      </c>
      <c r="B262" s="4">
        <v>261</v>
      </c>
      <c r="C262" s="3">
        <v>21811</v>
      </c>
      <c r="D262" s="4">
        <v>53</v>
      </c>
      <c r="E262" s="13">
        <f t="shared" si="36"/>
        <v>43.469417086394408</v>
      </c>
      <c r="F262" s="13">
        <f t="shared" si="37"/>
        <v>49.909120590023939</v>
      </c>
      <c r="G262" s="13">
        <f t="shared" si="39"/>
        <v>3.0908794099760613</v>
      </c>
      <c r="H262" s="13">
        <f t="shared" si="40"/>
        <v>3.0908794099760613</v>
      </c>
      <c r="I262" s="13">
        <f t="shared" si="41"/>
        <v>9.553535527013965</v>
      </c>
      <c r="J262" s="5">
        <f t="shared" si="42"/>
        <v>5.8318479433510588E-2</v>
      </c>
      <c r="K262" s="8">
        <f t="shared" si="38"/>
        <v>1.1481433139724597</v>
      </c>
    </row>
    <row r="263" spans="1:11" ht="15.75" customHeight="1">
      <c r="A263" s="4" t="str">
        <f t="shared" si="35"/>
        <v>Sep</v>
      </c>
      <c r="B263" s="4">
        <v>262</v>
      </c>
      <c r="C263" s="3">
        <v>21812</v>
      </c>
      <c r="D263" s="4">
        <v>55</v>
      </c>
      <c r="E263" s="13">
        <f t="shared" si="36"/>
        <v>43.488501639837821</v>
      </c>
      <c r="F263" s="13">
        <f t="shared" si="37"/>
        <v>49.931032392460146</v>
      </c>
      <c r="G263" s="13">
        <f t="shared" si="39"/>
        <v>5.0689676075398538</v>
      </c>
      <c r="H263" s="13">
        <f t="shared" si="40"/>
        <v>5.0689676075398538</v>
      </c>
      <c r="I263" s="13">
        <f t="shared" si="41"/>
        <v>25.694432606288309</v>
      </c>
      <c r="J263" s="5">
        <f t="shared" si="42"/>
        <v>9.2163047409815527E-2</v>
      </c>
      <c r="K263" s="8">
        <f t="shared" si="38"/>
        <v>1.1481433139724597</v>
      </c>
    </row>
    <row r="264" spans="1:11" ht="15.75" customHeight="1">
      <c r="A264" s="4" t="str">
        <f t="shared" si="35"/>
        <v>Sep</v>
      </c>
      <c r="B264" s="4">
        <v>263</v>
      </c>
      <c r="C264" s="3">
        <v>21813</v>
      </c>
      <c r="D264" s="4">
        <v>39</v>
      </c>
      <c r="E264" s="13">
        <f t="shared" si="36"/>
        <v>43.507586193281234</v>
      </c>
      <c r="F264" s="13">
        <f t="shared" si="37"/>
        <v>49.952944194896347</v>
      </c>
      <c r="G264" s="13">
        <f t="shared" si="39"/>
        <v>-10.952944194896347</v>
      </c>
      <c r="H264" s="13">
        <f t="shared" si="40"/>
        <v>10.952944194896347</v>
      </c>
      <c r="I264" s="13">
        <f t="shared" si="41"/>
        <v>119.96698653651357</v>
      </c>
      <c r="J264" s="5">
        <f t="shared" si="42"/>
        <v>0.28084472294606017</v>
      </c>
      <c r="K264" s="8">
        <f t="shared" si="38"/>
        <v>1.1481433139724597</v>
      </c>
    </row>
    <row r="265" spans="1:11" ht="15.75" customHeight="1">
      <c r="A265" s="4" t="str">
        <f t="shared" si="35"/>
        <v>Sep</v>
      </c>
      <c r="B265" s="4">
        <v>264</v>
      </c>
      <c r="C265" s="3">
        <v>21814</v>
      </c>
      <c r="D265" s="4">
        <v>59</v>
      </c>
      <c r="E265" s="13">
        <f t="shared" si="36"/>
        <v>43.526670746724648</v>
      </c>
      <c r="F265" s="13">
        <f t="shared" si="37"/>
        <v>49.974855997332554</v>
      </c>
      <c r="G265" s="13">
        <f t="shared" si="39"/>
        <v>9.0251440026674459</v>
      </c>
      <c r="H265" s="13">
        <f t="shared" si="40"/>
        <v>9.0251440026674459</v>
      </c>
      <c r="I265" s="13">
        <f t="shared" si="41"/>
        <v>81.453224268884171</v>
      </c>
      <c r="J265" s="5">
        <f t="shared" si="42"/>
        <v>0.1529685424180923</v>
      </c>
      <c r="K265" s="8">
        <f t="shared" si="38"/>
        <v>1.1481433139724597</v>
      </c>
    </row>
    <row r="266" spans="1:11" ht="15.75" customHeight="1">
      <c r="A266" s="4" t="str">
        <f t="shared" si="35"/>
        <v>Sep</v>
      </c>
      <c r="B266" s="4">
        <v>265</v>
      </c>
      <c r="C266" s="3">
        <v>21815</v>
      </c>
      <c r="D266" s="4">
        <v>55</v>
      </c>
      <c r="E266" s="13">
        <f t="shared" si="36"/>
        <v>43.545755300168061</v>
      </c>
      <c r="F266" s="13">
        <f t="shared" si="37"/>
        <v>49.996767799768762</v>
      </c>
      <c r="G266" s="13">
        <f t="shared" si="39"/>
        <v>5.0032322002312384</v>
      </c>
      <c r="H266" s="13">
        <f t="shared" si="40"/>
        <v>5.0032322002312384</v>
      </c>
      <c r="I266" s="13">
        <f t="shared" si="41"/>
        <v>25.032332449430719</v>
      </c>
      <c r="J266" s="5">
        <f t="shared" si="42"/>
        <v>9.0967858186022515E-2</v>
      </c>
      <c r="K266" s="8">
        <f t="shared" si="38"/>
        <v>1.1481433139724597</v>
      </c>
    </row>
    <row r="267" spans="1:11" ht="15.75" customHeight="1">
      <c r="A267" s="4" t="str">
        <f t="shared" si="35"/>
        <v>Sep</v>
      </c>
      <c r="B267" s="4">
        <v>266</v>
      </c>
      <c r="C267" s="3">
        <v>21816</v>
      </c>
      <c r="D267" s="4">
        <v>73</v>
      </c>
      <c r="E267" s="13">
        <f t="shared" si="36"/>
        <v>43.564839853611474</v>
      </c>
      <c r="F267" s="13">
        <f t="shared" si="37"/>
        <v>50.018679602204962</v>
      </c>
      <c r="G267" s="13">
        <f t="shared" si="39"/>
        <v>22.981320397795038</v>
      </c>
      <c r="H267" s="13">
        <f t="shared" si="40"/>
        <v>22.981320397795038</v>
      </c>
      <c r="I267" s="13">
        <f t="shared" si="41"/>
        <v>528.14108722611024</v>
      </c>
      <c r="J267" s="5">
        <f t="shared" si="42"/>
        <v>0.31481260818897311</v>
      </c>
      <c r="K267" s="8">
        <f t="shared" si="38"/>
        <v>1.1481433139724597</v>
      </c>
    </row>
    <row r="268" spans="1:11" ht="15.75" customHeight="1">
      <c r="A268" s="4" t="str">
        <f t="shared" si="35"/>
        <v>Sep</v>
      </c>
      <c r="B268" s="4">
        <v>267</v>
      </c>
      <c r="C268" s="3">
        <v>21817</v>
      </c>
      <c r="D268" s="4">
        <v>55</v>
      </c>
      <c r="E268" s="13">
        <f t="shared" si="36"/>
        <v>43.58392440705488</v>
      </c>
      <c r="F268" s="13">
        <f t="shared" si="37"/>
        <v>50.040591404641162</v>
      </c>
      <c r="G268" s="13">
        <f t="shared" si="39"/>
        <v>4.9594085953588376</v>
      </c>
      <c r="H268" s="13">
        <f t="shared" si="40"/>
        <v>4.9594085953588376</v>
      </c>
      <c r="I268" s="13">
        <f t="shared" si="41"/>
        <v>24.595733615719119</v>
      </c>
      <c r="J268" s="5">
        <f t="shared" si="42"/>
        <v>9.0171065370160688E-2</v>
      </c>
      <c r="K268" s="8">
        <f t="shared" si="38"/>
        <v>1.1481433139724597</v>
      </c>
    </row>
    <row r="269" spans="1:11" ht="15.75" customHeight="1">
      <c r="A269" s="4" t="str">
        <f t="shared" si="35"/>
        <v>Sep</v>
      </c>
      <c r="B269" s="4">
        <v>268</v>
      </c>
      <c r="C269" s="3">
        <v>21818</v>
      </c>
      <c r="D269" s="4">
        <v>44</v>
      </c>
      <c r="E269" s="13">
        <f t="shared" si="36"/>
        <v>43.603008960498293</v>
      </c>
      <c r="F269" s="13">
        <f t="shared" si="37"/>
        <v>50.06250320707737</v>
      </c>
      <c r="G269" s="13">
        <f t="shared" si="39"/>
        <v>-6.0625032070773699</v>
      </c>
      <c r="H269" s="13">
        <f t="shared" si="40"/>
        <v>6.0625032070773699</v>
      </c>
      <c r="I269" s="13">
        <f t="shared" si="41"/>
        <v>36.753945135823393</v>
      </c>
      <c r="J269" s="5">
        <f t="shared" si="42"/>
        <v>0.13778416379721295</v>
      </c>
      <c r="K269" s="8">
        <f t="shared" si="38"/>
        <v>1.1481433139724597</v>
      </c>
    </row>
    <row r="270" spans="1:11" ht="15.75" customHeight="1">
      <c r="A270" s="4" t="str">
        <f t="shared" si="35"/>
        <v>Sep</v>
      </c>
      <c r="B270" s="4">
        <v>269</v>
      </c>
      <c r="C270" s="3">
        <v>21819</v>
      </c>
      <c r="D270" s="4">
        <v>43</v>
      </c>
      <c r="E270" s="13">
        <f t="shared" si="36"/>
        <v>43.622093513941707</v>
      </c>
      <c r="F270" s="13">
        <f t="shared" si="37"/>
        <v>50.08441500951357</v>
      </c>
      <c r="G270" s="13">
        <f t="shared" si="39"/>
        <v>-7.0844150095135703</v>
      </c>
      <c r="H270" s="13">
        <f t="shared" si="40"/>
        <v>7.0844150095135703</v>
      </c>
      <c r="I270" s="13">
        <f t="shared" si="41"/>
        <v>50.188936027021157</v>
      </c>
      <c r="J270" s="5">
        <f t="shared" si="42"/>
        <v>0.16475383743054814</v>
      </c>
      <c r="K270" s="8">
        <f t="shared" si="38"/>
        <v>1.1481433139724597</v>
      </c>
    </row>
    <row r="271" spans="1:11" ht="15.75" customHeight="1">
      <c r="A271" s="4" t="str">
        <f t="shared" si="35"/>
        <v>Sep</v>
      </c>
      <c r="B271" s="4">
        <v>270</v>
      </c>
      <c r="C271" s="3">
        <v>21820</v>
      </c>
      <c r="D271" s="4">
        <v>40</v>
      </c>
      <c r="E271" s="13">
        <f t="shared" si="36"/>
        <v>43.64117806738512</v>
      </c>
      <c r="F271" s="13">
        <f t="shared" si="37"/>
        <v>50.106326811949778</v>
      </c>
      <c r="G271" s="13">
        <f t="shared" si="39"/>
        <v>-10.106326811949778</v>
      </c>
      <c r="H271" s="13">
        <f t="shared" si="40"/>
        <v>10.106326811949778</v>
      </c>
      <c r="I271" s="13">
        <f t="shared" si="41"/>
        <v>102.13784162993495</v>
      </c>
      <c r="J271" s="5">
        <f t="shared" si="42"/>
        <v>0.25265817029874443</v>
      </c>
      <c r="K271" s="8">
        <f t="shared" si="38"/>
        <v>1.1481433139724597</v>
      </c>
    </row>
    <row r="272" spans="1:11" ht="15.75" customHeight="1">
      <c r="A272" s="4" t="str">
        <f t="shared" si="35"/>
        <v>Sep</v>
      </c>
      <c r="B272" s="4">
        <v>271</v>
      </c>
      <c r="C272" s="3">
        <v>21821</v>
      </c>
      <c r="D272" s="4">
        <v>47</v>
      </c>
      <c r="E272" s="13">
        <f t="shared" si="36"/>
        <v>43.660262620828533</v>
      </c>
      <c r="F272" s="13">
        <f t="shared" si="37"/>
        <v>50.128238614385978</v>
      </c>
      <c r="G272" s="13">
        <f t="shared" si="39"/>
        <v>-3.1282386143859782</v>
      </c>
      <c r="H272" s="13">
        <f t="shared" si="40"/>
        <v>3.1282386143859782</v>
      </c>
      <c r="I272" s="13">
        <f t="shared" si="41"/>
        <v>9.7858768285355051</v>
      </c>
      <c r="J272" s="5">
        <f t="shared" si="42"/>
        <v>6.6558268391191028E-2</v>
      </c>
      <c r="K272" s="8">
        <f t="shared" si="38"/>
        <v>1.1481433139724597</v>
      </c>
    </row>
    <row r="273" spans="1:11" ht="15.75" customHeight="1">
      <c r="A273" s="4" t="str">
        <f t="shared" si="35"/>
        <v>Sep</v>
      </c>
      <c r="B273" s="4">
        <v>272</v>
      </c>
      <c r="C273" s="3">
        <v>21822</v>
      </c>
      <c r="D273" s="4">
        <v>51</v>
      </c>
      <c r="E273" s="13">
        <f t="shared" si="36"/>
        <v>43.679347174271946</v>
      </c>
      <c r="F273" s="13">
        <f t="shared" si="37"/>
        <v>50.150150416822186</v>
      </c>
      <c r="G273" s="13">
        <f t="shared" si="39"/>
        <v>0.84984958317781434</v>
      </c>
      <c r="H273" s="13">
        <f t="shared" si="40"/>
        <v>0.84984958317781434</v>
      </c>
      <c r="I273" s="13">
        <f t="shared" si="41"/>
        <v>0.72224431402750477</v>
      </c>
      <c r="J273" s="5">
        <f t="shared" si="42"/>
        <v>1.6663717317212046E-2</v>
      </c>
      <c r="K273" s="8">
        <f t="shared" si="38"/>
        <v>1.1481433139724597</v>
      </c>
    </row>
    <row r="274" spans="1:11" ht="15.75" customHeight="1">
      <c r="A274" s="4" t="str">
        <f t="shared" si="35"/>
        <v>Sep</v>
      </c>
      <c r="B274" s="4">
        <v>273</v>
      </c>
      <c r="C274" s="3">
        <v>21823</v>
      </c>
      <c r="D274" s="4">
        <v>56</v>
      </c>
      <c r="E274" s="13">
        <f t="shared" si="36"/>
        <v>43.698431727715359</v>
      </c>
      <c r="F274" s="13">
        <f t="shared" si="37"/>
        <v>50.172062219258393</v>
      </c>
      <c r="G274" s="13">
        <f t="shared" si="39"/>
        <v>5.8279377807416068</v>
      </c>
      <c r="H274" s="13">
        <f t="shared" si="40"/>
        <v>5.8279377807416068</v>
      </c>
      <c r="I274" s="13">
        <f t="shared" si="41"/>
        <v>33.964858776195406</v>
      </c>
      <c r="J274" s="5">
        <f t="shared" si="42"/>
        <v>0.10407031751324299</v>
      </c>
      <c r="K274" s="8">
        <f t="shared" si="38"/>
        <v>1.1481433139724597</v>
      </c>
    </row>
    <row r="275" spans="1:11" ht="15.75" customHeight="1">
      <c r="A275" s="4" t="str">
        <f t="shared" si="35"/>
        <v>Oct</v>
      </c>
      <c r="B275" s="4">
        <v>274</v>
      </c>
      <c r="C275" s="3">
        <v>21824</v>
      </c>
      <c r="D275" s="4">
        <v>49</v>
      </c>
      <c r="E275" s="13">
        <f t="shared" si="36"/>
        <v>43.717516281158773</v>
      </c>
      <c r="F275" s="13">
        <f t="shared" si="37"/>
        <v>45.954595410037612</v>
      </c>
      <c r="G275" s="13">
        <f t="shared" si="39"/>
        <v>3.0454045899623878</v>
      </c>
      <c r="H275" s="13">
        <f t="shared" si="40"/>
        <v>3.0454045899623878</v>
      </c>
      <c r="I275" s="13">
        <f t="shared" si="41"/>
        <v>9.2744891165639789</v>
      </c>
      <c r="J275" s="5">
        <f t="shared" si="42"/>
        <v>6.2151114080865058E-2</v>
      </c>
      <c r="K275" s="8">
        <f t="shared" si="38"/>
        <v>1.0511712311031487</v>
      </c>
    </row>
    <row r="276" spans="1:11" ht="15.75" customHeight="1">
      <c r="A276" s="4" t="str">
        <f t="shared" si="35"/>
        <v>Oct</v>
      </c>
      <c r="B276" s="4">
        <v>275</v>
      </c>
      <c r="C276" s="3">
        <v>21825</v>
      </c>
      <c r="D276" s="4">
        <v>54</v>
      </c>
      <c r="E276" s="13">
        <f t="shared" si="36"/>
        <v>43.736600834602186</v>
      </c>
      <c r="F276" s="13">
        <f t="shared" si="37"/>
        <v>45.974656543575783</v>
      </c>
      <c r="G276" s="13">
        <f t="shared" si="39"/>
        <v>8.025343456424217</v>
      </c>
      <c r="H276" s="13">
        <f t="shared" si="40"/>
        <v>8.025343456424217</v>
      </c>
      <c r="I276" s="13">
        <f t="shared" si="41"/>
        <v>64.406137593571003</v>
      </c>
      <c r="J276" s="5">
        <f t="shared" si="42"/>
        <v>0.14861747141526327</v>
      </c>
      <c r="K276" s="8">
        <f t="shared" si="38"/>
        <v>1.0511712311031487</v>
      </c>
    </row>
    <row r="277" spans="1:11" ht="15.75" customHeight="1">
      <c r="A277" s="4" t="str">
        <f t="shared" si="35"/>
        <v>Oct</v>
      </c>
      <c r="B277" s="4">
        <v>276</v>
      </c>
      <c r="C277" s="3">
        <v>21826</v>
      </c>
      <c r="D277" s="4">
        <v>56</v>
      </c>
      <c r="E277" s="13">
        <f t="shared" si="36"/>
        <v>43.755685388045599</v>
      </c>
      <c r="F277" s="13">
        <f t="shared" si="37"/>
        <v>45.994717677113947</v>
      </c>
      <c r="G277" s="13">
        <f t="shared" si="39"/>
        <v>10.005282322886053</v>
      </c>
      <c r="H277" s="13">
        <f t="shared" si="40"/>
        <v>10.005282322886053</v>
      </c>
      <c r="I277" s="13">
        <f t="shared" si="41"/>
        <v>100.10567436065614</v>
      </c>
      <c r="J277" s="5">
        <f t="shared" si="42"/>
        <v>0.17866575576582239</v>
      </c>
      <c r="K277" s="8">
        <f t="shared" si="38"/>
        <v>1.0511712311031487</v>
      </c>
    </row>
    <row r="278" spans="1:11" ht="15.75" customHeight="1">
      <c r="A278" s="4" t="str">
        <f t="shared" si="35"/>
        <v>Oct</v>
      </c>
      <c r="B278" s="4">
        <v>277</v>
      </c>
      <c r="C278" s="3">
        <v>21827</v>
      </c>
      <c r="D278" s="4">
        <v>47</v>
      </c>
      <c r="E278" s="13">
        <f t="shared" si="36"/>
        <v>43.774769941489012</v>
      </c>
      <c r="F278" s="13">
        <f t="shared" si="37"/>
        <v>46.014778810652111</v>
      </c>
      <c r="G278" s="13">
        <f t="shared" si="39"/>
        <v>0.98522118934788949</v>
      </c>
      <c r="H278" s="13">
        <f t="shared" si="40"/>
        <v>0.98522118934788949</v>
      </c>
      <c r="I278" s="13">
        <f t="shared" si="41"/>
        <v>0.97066079194006993</v>
      </c>
      <c r="J278" s="5">
        <f t="shared" si="42"/>
        <v>2.0962152964848713E-2</v>
      </c>
      <c r="K278" s="8">
        <f t="shared" si="38"/>
        <v>1.0511712311031487</v>
      </c>
    </row>
    <row r="279" spans="1:11" ht="15.75" customHeight="1">
      <c r="A279" s="4" t="str">
        <f t="shared" si="35"/>
        <v>Oct</v>
      </c>
      <c r="B279" s="4">
        <v>278</v>
      </c>
      <c r="C279" s="3">
        <v>21828</v>
      </c>
      <c r="D279" s="4">
        <v>44</v>
      </c>
      <c r="E279" s="13">
        <f t="shared" si="36"/>
        <v>43.793854494932425</v>
      </c>
      <c r="F279" s="13">
        <f t="shared" si="37"/>
        <v>46.034839944190281</v>
      </c>
      <c r="G279" s="13">
        <f t="shared" si="39"/>
        <v>-2.0348399441902814</v>
      </c>
      <c r="H279" s="13">
        <f t="shared" si="40"/>
        <v>2.0348399441902814</v>
      </c>
      <c r="I279" s="13">
        <f t="shared" si="41"/>
        <v>4.1405735984723071</v>
      </c>
      <c r="J279" s="5">
        <f t="shared" si="42"/>
        <v>4.6246362367960939E-2</v>
      </c>
      <c r="K279" s="8">
        <f t="shared" si="38"/>
        <v>1.0511712311031487</v>
      </c>
    </row>
    <row r="280" spans="1:11" ht="15.75" customHeight="1">
      <c r="A280" s="4" t="str">
        <f t="shared" si="35"/>
        <v>Oct</v>
      </c>
      <c r="B280" s="4">
        <v>279</v>
      </c>
      <c r="C280" s="3">
        <v>21829</v>
      </c>
      <c r="D280" s="4">
        <v>43</v>
      </c>
      <c r="E280" s="13">
        <f t="shared" si="36"/>
        <v>43.812939048375839</v>
      </c>
      <c r="F280" s="13">
        <f t="shared" si="37"/>
        <v>46.054901077728445</v>
      </c>
      <c r="G280" s="13">
        <f t="shared" si="39"/>
        <v>-3.0549010777284451</v>
      </c>
      <c r="H280" s="13">
        <f t="shared" si="40"/>
        <v>3.0549010777284451</v>
      </c>
      <c r="I280" s="13">
        <f t="shared" si="41"/>
        <v>9.3324205947064147</v>
      </c>
      <c r="J280" s="5">
        <f t="shared" si="42"/>
        <v>7.104421110996384E-2</v>
      </c>
      <c r="K280" s="8">
        <f t="shared" si="38"/>
        <v>1.0511712311031487</v>
      </c>
    </row>
    <row r="281" spans="1:11" ht="15.75" customHeight="1">
      <c r="A281" s="4" t="str">
        <f t="shared" si="35"/>
        <v>Oct</v>
      </c>
      <c r="B281" s="4">
        <v>280</v>
      </c>
      <c r="C281" s="3">
        <v>21830</v>
      </c>
      <c r="D281" s="4">
        <v>42</v>
      </c>
      <c r="E281" s="13">
        <f t="shared" si="36"/>
        <v>43.832023601819245</v>
      </c>
      <c r="F281" s="13">
        <f t="shared" si="37"/>
        <v>46.074962211266602</v>
      </c>
      <c r="G281" s="13">
        <f t="shared" si="39"/>
        <v>-4.0749622112666017</v>
      </c>
      <c r="H281" s="13">
        <f t="shared" si="40"/>
        <v>4.0749622112666017</v>
      </c>
      <c r="I281" s="13">
        <f t="shared" si="41"/>
        <v>16.605317023250791</v>
      </c>
      <c r="J281" s="5">
        <f t="shared" si="42"/>
        <v>9.7022909792061948E-2</v>
      </c>
      <c r="K281" s="8">
        <f t="shared" si="38"/>
        <v>1.0511712311031487</v>
      </c>
    </row>
    <row r="282" spans="1:11" ht="15.75" customHeight="1">
      <c r="A282" s="4" t="str">
        <f t="shared" si="35"/>
        <v>Oct</v>
      </c>
      <c r="B282" s="4">
        <v>281</v>
      </c>
      <c r="C282" s="3">
        <v>21831</v>
      </c>
      <c r="D282" s="4">
        <v>45</v>
      </c>
      <c r="E282" s="13">
        <f t="shared" si="36"/>
        <v>43.851108155262658</v>
      </c>
      <c r="F282" s="13">
        <f t="shared" si="37"/>
        <v>46.095023344804773</v>
      </c>
      <c r="G282" s="13">
        <f t="shared" si="39"/>
        <v>-1.0950233448047726</v>
      </c>
      <c r="H282" s="13">
        <f t="shared" si="40"/>
        <v>1.0950233448047726</v>
      </c>
      <c r="I282" s="13">
        <f t="shared" si="41"/>
        <v>1.1990761256674318</v>
      </c>
      <c r="J282" s="5">
        <f t="shared" si="42"/>
        <v>2.4333852106772726E-2</v>
      </c>
      <c r="K282" s="8">
        <f t="shared" si="38"/>
        <v>1.0511712311031487</v>
      </c>
    </row>
    <row r="283" spans="1:11" ht="15.75" customHeight="1">
      <c r="A283" s="4" t="str">
        <f t="shared" si="35"/>
        <v>Oct</v>
      </c>
      <c r="B283" s="4">
        <v>282</v>
      </c>
      <c r="C283" s="3">
        <v>21832</v>
      </c>
      <c r="D283" s="4">
        <v>50</v>
      </c>
      <c r="E283" s="13">
        <f t="shared" si="36"/>
        <v>43.870192708706071</v>
      </c>
      <c r="F283" s="13">
        <f t="shared" si="37"/>
        <v>46.115084478342936</v>
      </c>
      <c r="G283" s="13">
        <f t="shared" si="39"/>
        <v>3.8849155216570637</v>
      </c>
      <c r="H283" s="13">
        <f t="shared" si="40"/>
        <v>3.8849155216570637</v>
      </c>
      <c r="I283" s="13">
        <f t="shared" si="41"/>
        <v>15.092568610411975</v>
      </c>
      <c r="J283" s="5">
        <f t="shared" si="42"/>
        <v>7.7698310433141279E-2</v>
      </c>
      <c r="K283" s="8">
        <f t="shared" si="38"/>
        <v>1.0511712311031487</v>
      </c>
    </row>
    <row r="284" spans="1:11" ht="15.75" customHeight="1">
      <c r="A284" s="4" t="str">
        <f t="shared" si="35"/>
        <v>Oct</v>
      </c>
      <c r="B284" s="4">
        <v>283</v>
      </c>
      <c r="C284" s="3">
        <v>21833</v>
      </c>
      <c r="D284" s="4">
        <v>48</v>
      </c>
      <c r="E284" s="13">
        <f t="shared" si="36"/>
        <v>43.889277262149484</v>
      </c>
      <c r="F284" s="13">
        <f t="shared" si="37"/>
        <v>46.135145611881107</v>
      </c>
      <c r="G284" s="13">
        <f t="shared" si="39"/>
        <v>1.8648543881188928</v>
      </c>
      <c r="H284" s="13">
        <f t="shared" si="40"/>
        <v>1.8648543881188928</v>
      </c>
      <c r="I284" s="13">
        <f t="shared" si="41"/>
        <v>3.4776818888862899</v>
      </c>
      <c r="J284" s="5">
        <f t="shared" si="42"/>
        <v>3.8851133085810265E-2</v>
      </c>
      <c r="K284" s="8">
        <f t="shared" si="38"/>
        <v>1.0511712311031487</v>
      </c>
    </row>
    <row r="285" spans="1:11" ht="15.75" customHeight="1">
      <c r="A285" s="4" t="str">
        <f t="shared" si="35"/>
        <v>Oct</v>
      </c>
      <c r="B285" s="4">
        <v>284</v>
      </c>
      <c r="C285" s="3">
        <v>21834</v>
      </c>
      <c r="D285" s="4">
        <v>43</v>
      </c>
      <c r="E285" s="13">
        <f t="shared" si="36"/>
        <v>43.908361815592897</v>
      </c>
      <c r="F285" s="13">
        <f t="shared" si="37"/>
        <v>46.155206745419271</v>
      </c>
      <c r="G285" s="13">
        <f t="shared" si="39"/>
        <v>-3.1552067454192709</v>
      </c>
      <c r="H285" s="13">
        <f t="shared" si="40"/>
        <v>3.1552067454192709</v>
      </c>
      <c r="I285" s="13">
        <f t="shared" si="41"/>
        <v>9.9553296063392676</v>
      </c>
      <c r="J285" s="5">
        <f t="shared" si="42"/>
        <v>7.3376901056262114E-2</v>
      </c>
      <c r="K285" s="8">
        <f t="shared" si="38"/>
        <v>1.0511712311031487</v>
      </c>
    </row>
    <row r="286" spans="1:11" ht="15.75" customHeight="1">
      <c r="A286" s="4" t="str">
        <f t="shared" si="35"/>
        <v>Oct</v>
      </c>
      <c r="B286" s="4">
        <v>285</v>
      </c>
      <c r="C286" s="3">
        <v>21835</v>
      </c>
      <c r="D286" s="4">
        <v>40</v>
      </c>
      <c r="E286" s="13">
        <f t="shared" si="36"/>
        <v>43.927446369036311</v>
      </c>
      <c r="F286" s="13">
        <f t="shared" si="37"/>
        <v>46.175267878957435</v>
      </c>
      <c r="G286" s="13">
        <f t="shared" si="39"/>
        <v>-6.1752678789574347</v>
      </c>
      <c r="H286" s="13">
        <f t="shared" si="40"/>
        <v>6.1752678789574347</v>
      </c>
      <c r="I286" s="13">
        <f t="shared" si="41"/>
        <v>38.133933376883455</v>
      </c>
      <c r="J286" s="5">
        <f t="shared" si="42"/>
        <v>0.15438169697393586</v>
      </c>
      <c r="K286" s="8">
        <f t="shared" si="38"/>
        <v>1.0511712311031487</v>
      </c>
    </row>
    <row r="287" spans="1:11" ht="15.75" customHeight="1">
      <c r="A287" s="4" t="str">
        <f t="shared" si="35"/>
        <v>Oct</v>
      </c>
      <c r="B287" s="4">
        <v>286</v>
      </c>
      <c r="C287" s="3">
        <v>21836</v>
      </c>
      <c r="D287" s="4">
        <v>59</v>
      </c>
      <c r="E287" s="13">
        <f t="shared" si="36"/>
        <v>43.946530922479724</v>
      </c>
      <c r="F287" s="13">
        <f t="shared" si="37"/>
        <v>46.195329012495606</v>
      </c>
      <c r="G287" s="13">
        <f t="shared" si="39"/>
        <v>12.804670987504394</v>
      </c>
      <c r="H287" s="13">
        <f t="shared" si="40"/>
        <v>12.804670987504394</v>
      </c>
      <c r="I287" s="13">
        <f t="shared" si="41"/>
        <v>163.95959909823677</v>
      </c>
      <c r="J287" s="5">
        <f t="shared" si="42"/>
        <v>0.21702832182210838</v>
      </c>
      <c r="K287" s="8">
        <f t="shared" si="38"/>
        <v>1.0511712311031487</v>
      </c>
    </row>
    <row r="288" spans="1:11" ht="15.75" customHeight="1">
      <c r="A288" s="4" t="str">
        <f t="shared" si="35"/>
        <v>Oct</v>
      </c>
      <c r="B288" s="4">
        <v>287</v>
      </c>
      <c r="C288" s="3">
        <v>21837</v>
      </c>
      <c r="D288" s="4">
        <v>41</v>
      </c>
      <c r="E288" s="13">
        <f t="shared" si="36"/>
        <v>43.965615475923137</v>
      </c>
      <c r="F288" s="13">
        <f t="shared" si="37"/>
        <v>46.215390146033769</v>
      </c>
      <c r="G288" s="13">
        <f t="shared" si="39"/>
        <v>-5.2153901460337693</v>
      </c>
      <c r="H288" s="13">
        <f t="shared" si="40"/>
        <v>5.2153901460337693</v>
      </c>
      <c r="I288" s="13">
        <f t="shared" si="41"/>
        <v>27.200294375346139</v>
      </c>
      <c r="J288" s="5">
        <f t="shared" si="42"/>
        <v>0.12720463770814072</v>
      </c>
      <c r="K288" s="8">
        <f t="shared" si="38"/>
        <v>1.0511712311031487</v>
      </c>
    </row>
    <row r="289" spans="1:11" ht="15.75" customHeight="1">
      <c r="A289" s="4" t="str">
        <f t="shared" si="35"/>
        <v>Oct</v>
      </c>
      <c r="B289" s="4">
        <v>288</v>
      </c>
      <c r="C289" s="3">
        <v>21838</v>
      </c>
      <c r="D289" s="4">
        <v>42</v>
      </c>
      <c r="E289" s="13">
        <f t="shared" si="36"/>
        <v>43.98470002936655</v>
      </c>
      <c r="F289" s="13">
        <f t="shared" si="37"/>
        <v>46.23545127957194</v>
      </c>
      <c r="G289" s="13">
        <f t="shared" si="39"/>
        <v>-4.2354512795719401</v>
      </c>
      <c r="H289" s="13">
        <f t="shared" si="40"/>
        <v>4.2354512795719401</v>
      </c>
      <c r="I289" s="13">
        <f t="shared" si="41"/>
        <v>17.939047541627584</v>
      </c>
      <c r="J289" s="5">
        <f t="shared" si="42"/>
        <v>0.1008440780850462</v>
      </c>
      <c r="K289" s="8">
        <f t="shared" si="38"/>
        <v>1.0511712311031487</v>
      </c>
    </row>
    <row r="290" spans="1:11" ht="15.75" customHeight="1">
      <c r="A290" s="4" t="str">
        <f t="shared" si="35"/>
        <v>Oct</v>
      </c>
      <c r="B290" s="4">
        <v>289</v>
      </c>
      <c r="C290" s="3">
        <v>21839</v>
      </c>
      <c r="D290" s="4">
        <v>51</v>
      </c>
      <c r="E290" s="13">
        <f t="shared" si="36"/>
        <v>44.003784582809963</v>
      </c>
      <c r="F290" s="13">
        <f t="shared" si="37"/>
        <v>46.255512413110104</v>
      </c>
      <c r="G290" s="13">
        <f t="shared" si="39"/>
        <v>4.7444875868898961</v>
      </c>
      <c r="H290" s="13">
        <f t="shared" si="40"/>
        <v>4.7444875868898961</v>
      </c>
      <c r="I290" s="13">
        <f t="shared" si="41"/>
        <v>22.510162462152309</v>
      </c>
      <c r="J290" s="5">
        <f t="shared" si="42"/>
        <v>9.3029168370390117E-2</v>
      </c>
      <c r="K290" s="8">
        <f t="shared" si="38"/>
        <v>1.0511712311031487</v>
      </c>
    </row>
    <row r="291" spans="1:11" ht="15.75" customHeight="1">
      <c r="A291" s="4" t="str">
        <f t="shared" si="35"/>
        <v>Oct</v>
      </c>
      <c r="B291" s="4">
        <v>290</v>
      </c>
      <c r="C291" s="3">
        <v>21840</v>
      </c>
      <c r="D291" s="4">
        <v>49</v>
      </c>
      <c r="E291" s="13">
        <f t="shared" si="36"/>
        <v>44.022869136253377</v>
      </c>
      <c r="F291" s="13">
        <f t="shared" si="37"/>
        <v>46.275573546648268</v>
      </c>
      <c r="G291" s="13">
        <f t="shared" si="39"/>
        <v>2.7244264533517324</v>
      </c>
      <c r="H291" s="13">
        <f t="shared" si="40"/>
        <v>2.7244264533517324</v>
      </c>
      <c r="I291" s="13">
        <f t="shared" si="41"/>
        <v>7.422499499722699</v>
      </c>
      <c r="J291" s="5">
        <f t="shared" si="42"/>
        <v>5.560053986432107E-2</v>
      </c>
      <c r="K291" s="8">
        <f t="shared" si="38"/>
        <v>1.0511712311031487</v>
      </c>
    </row>
    <row r="292" spans="1:11" ht="15.75" customHeight="1">
      <c r="A292" s="4" t="str">
        <f t="shared" si="35"/>
        <v>Oct</v>
      </c>
      <c r="B292" s="4">
        <v>291</v>
      </c>
      <c r="C292" s="3">
        <v>21841</v>
      </c>
      <c r="D292" s="4">
        <v>45</v>
      </c>
      <c r="E292" s="13">
        <f t="shared" si="36"/>
        <v>44.041953689696783</v>
      </c>
      <c r="F292" s="13">
        <f t="shared" si="37"/>
        <v>46.295634680186431</v>
      </c>
      <c r="G292" s="13">
        <f t="shared" si="39"/>
        <v>-1.2956346801864314</v>
      </c>
      <c r="H292" s="13">
        <f t="shared" si="40"/>
        <v>1.2956346801864314</v>
      </c>
      <c r="I292" s="13">
        <f t="shared" si="41"/>
        <v>1.6786692245017962</v>
      </c>
      <c r="J292" s="5">
        <f t="shared" si="42"/>
        <v>2.8791881781920697E-2</v>
      </c>
      <c r="K292" s="8">
        <f t="shared" si="38"/>
        <v>1.0511712311031487</v>
      </c>
    </row>
    <row r="293" spans="1:11" ht="15.75" customHeight="1">
      <c r="A293" s="4" t="str">
        <f t="shared" si="35"/>
        <v>Oct</v>
      </c>
      <c r="B293" s="4">
        <v>292</v>
      </c>
      <c r="C293" s="3">
        <v>21842</v>
      </c>
      <c r="D293" s="4">
        <v>43</v>
      </c>
      <c r="E293" s="13">
        <f t="shared" si="36"/>
        <v>44.061038243140203</v>
      </c>
      <c r="F293" s="13">
        <f t="shared" si="37"/>
        <v>46.315695813724602</v>
      </c>
      <c r="G293" s="13">
        <f t="shared" si="39"/>
        <v>-3.3156958137246022</v>
      </c>
      <c r="H293" s="13">
        <f t="shared" si="40"/>
        <v>3.3156958137246022</v>
      </c>
      <c r="I293" s="13">
        <f t="shared" si="41"/>
        <v>10.993838729150852</v>
      </c>
      <c r="J293" s="5">
        <f t="shared" si="42"/>
        <v>7.7109204970339587E-2</v>
      </c>
      <c r="K293" s="8">
        <f t="shared" si="38"/>
        <v>1.0511712311031487</v>
      </c>
    </row>
    <row r="294" spans="1:11" ht="15.75" customHeight="1">
      <c r="A294" s="4" t="str">
        <f t="shared" si="35"/>
        <v>Oct</v>
      </c>
      <c r="B294" s="4">
        <v>293</v>
      </c>
      <c r="C294" s="3">
        <v>21843</v>
      </c>
      <c r="D294" s="4">
        <v>42</v>
      </c>
      <c r="E294" s="13">
        <f t="shared" si="36"/>
        <v>44.080122796583609</v>
      </c>
      <c r="F294" s="13">
        <f t="shared" si="37"/>
        <v>46.335756947262759</v>
      </c>
      <c r="G294" s="13">
        <f t="shared" si="39"/>
        <v>-4.3357569472627588</v>
      </c>
      <c r="H294" s="13">
        <f t="shared" si="40"/>
        <v>4.3357569472627588</v>
      </c>
      <c r="I294" s="13">
        <f t="shared" si="41"/>
        <v>18.798788305737279</v>
      </c>
      <c r="J294" s="5">
        <f t="shared" si="42"/>
        <v>0.10323230826816092</v>
      </c>
      <c r="K294" s="8">
        <f t="shared" si="38"/>
        <v>1.0511712311031487</v>
      </c>
    </row>
    <row r="295" spans="1:11" ht="15.75" customHeight="1">
      <c r="A295" s="4" t="str">
        <f t="shared" si="35"/>
        <v>Oct</v>
      </c>
      <c r="B295" s="4">
        <v>294</v>
      </c>
      <c r="C295" s="3">
        <v>21844</v>
      </c>
      <c r="D295" s="4">
        <v>38</v>
      </c>
      <c r="E295" s="13">
        <f t="shared" si="36"/>
        <v>44.099207350027022</v>
      </c>
      <c r="F295" s="13">
        <f t="shared" si="37"/>
        <v>46.35581808080093</v>
      </c>
      <c r="G295" s="13">
        <f t="shared" si="39"/>
        <v>-8.3558180808009297</v>
      </c>
      <c r="H295" s="13">
        <f t="shared" si="40"/>
        <v>8.3558180808009297</v>
      </c>
      <c r="I295" s="13">
        <f t="shared" si="41"/>
        <v>69.819695799439728</v>
      </c>
      <c r="J295" s="5">
        <f t="shared" si="42"/>
        <v>0.21988994949476132</v>
      </c>
      <c r="K295" s="8">
        <f t="shared" si="38"/>
        <v>1.0511712311031487</v>
      </c>
    </row>
    <row r="296" spans="1:11" ht="15.75" customHeight="1">
      <c r="A296" s="4" t="str">
        <f t="shared" si="35"/>
        <v>Oct</v>
      </c>
      <c r="B296" s="4">
        <v>295</v>
      </c>
      <c r="C296" s="3">
        <v>21845</v>
      </c>
      <c r="D296" s="4">
        <v>47</v>
      </c>
      <c r="E296" s="13">
        <f t="shared" si="36"/>
        <v>44.118291903470435</v>
      </c>
      <c r="F296" s="13">
        <f t="shared" si="37"/>
        <v>46.375879214339093</v>
      </c>
      <c r="G296" s="13">
        <f t="shared" si="39"/>
        <v>0.62412078566090656</v>
      </c>
      <c r="H296" s="13">
        <f t="shared" si="40"/>
        <v>0.62412078566090656</v>
      </c>
      <c r="I296" s="13">
        <f t="shared" si="41"/>
        <v>0.38952675509398726</v>
      </c>
      <c r="J296" s="5">
        <f t="shared" si="42"/>
        <v>1.3279165652359714E-2</v>
      </c>
      <c r="K296" s="8">
        <f t="shared" si="38"/>
        <v>1.0511712311031487</v>
      </c>
    </row>
    <row r="297" spans="1:11" ht="15.75" customHeight="1">
      <c r="A297" s="4" t="str">
        <f t="shared" si="35"/>
        <v>Oct</v>
      </c>
      <c r="B297" s="4">
        <v>296</v>
      </c>
      <c r="C297" s="3">
        <v>21846</v>
      </c>
      <c r="D297" s="4">
        <v>38</v>
      </c>
      <c r="E297" s="13">
        <f t="shared" si="36"/>
        <v>44.137376456913849</v>
      </c>
      <c r="F297" s="13">
        <f t="shared" si="37"/>
        <v>46.395940347877264</v>
      </c>
      <c r="G297" s="13">
        <f t="shared" si="39"/>
        <v>-8.3959403478772643</v>
      </c>
      <c r="H297" s="13">
        <f t="shared" si="40"/>
        <v>8.3959403478772643</v>
      </c>
      <c r="I297" s="13">
        <f t="shared" si="41"/>
        <v>70.491814325113396</v>
      </c>
      <c r="J297" s="5">
        <f t="shared" si="42"/>
        <v>0.22094579862834907</v>
      </c>
      <c r="K297" s="8">
        <f t="shared" si="38"/>
        <v>1.0511712311031487</v>
      </c>
    </row>
    <row r="298" spans="1:11" ht="15.75" customHeight="1">
      <c r="A298" s="4" t="str">
        <f t="shared" si="35"/>
        <v>Oct</v>
      </c>
      <c r="B298" s="4">
        <v>297</v>
      </c>
      <c r="C298" s="3">
        <v>21847</v>
      </c>
      <c r="D298" s="4">
        <v>36</v>
      </c>
      <c r="E298" s="13">
        <f t="shared" si="36"/>
        <v>44.156461010357262</v>
      </c>
      <c r="F298" s="13">
        <f t="shared" si="37"/>
        <v>46.416001481415428</v>
      </c>
      <c r="G298" s="13">
        <f t="shared" si="39"/>
        <v>-10.416001481415428</v>
      </c>
      <c r="H298" s="13">
        <f t="shared" si="40"/>
        <v>10.416001481415428</v>
      </c>
      <c r="I298" s="13">
        <f t="shared" si="41"/>
        <v>108.49308686084839</v>
      </c>
      <c r="J298" s="5">
        <f t="shared" si="42"/>
        <v>0.2893333744837619</v>
      </c>
      <c r="K298" s="8">
        <f t="shared" si="38"/>
        <v>1.0511712311031487</v>
      </c>
    </row>
    <row r="299" spans="1:11" ht="15.75" customHeight="1">
      <c r="A299" s="4" t="str">
        <f t="shared" si="35"/>
        <v>Oct</v>
      </c>
      <c r="B299" s="4">
        <v>298</v>
      </c>
      <c r="C299" s="3">
        <v>21848</v>
      </c>
      <c r="D299" s="4">
        <v>42</v>
      </c>
      <c r="E299" s="13">
        <f t="shared" si="36"/>
        <v>44.175545563800675</v>
      </c>
      <c r="F299" s="13">
        <f t="shared" si="37"/>
        <v>46.436062614953592</v>
      </c>
      <c r="G299" s="13">
        <f t="shared" si="39"/>
        <v>-4.4360626149535918</v>
      </c>
      <c r="H299" s="13">
        <f t="shared" si="40"/>
        <v>4.4360626149535918</v>
      </c>
      <c r="I299" s="13">
        <f t="shared" si="41"/>
        <v>19.678651523788897</v>
      </c>
      <c r="J299" s="5">
        <f t="shared" si="42"/>
        <v>0.10562053845127599</v>
      </c>
      <c r="K299" s="8">
        <f t="shared" si="38"/>
        <v>1.0511712311031487</v>
      </c>
    </row>
    <row r="300" spans="1:11" ht="15.75" customHeight="1">
      <c r="A300" s="4" t="str">
        <f t="shared" si="35"/>
        <v>Oct</v>
      </c>
      <c r="B300" s="4">
        <v>299</v>
      </c>
      <c r="C300" s="3">
        <v>21849</v>
      </c>
      <c r="D300" s="4">
        <v>35</v>
      </c>
      <c r="E300" s="13">
        <f t="shared" si="36"/>
        <v>44.194630117244088</v>
      </c>
      <c r="F300" s="13">
        <f t="shared" si="37"/>
        <v>46.456123748491763</v>
      </c>
      <c r="G300" s="13">
        <f t="shared" si="39"/>
        <v>-11.456123748491763</v>
      </c>
      <c r="H300" s="13">
        <f t="shared" si="40"/>
        <v>11.456123748491763</v>
      </c>
      <c r="I300" s="13">
        <f t="shared" si="41"/>
        <v>131.24277134075695</v>
      </c>
      <c r="J300" s="5">
        <f t="shared" si="42"/>
        <v>0.32731782138547894</v>
      </c>
      <c r="K300" s="8">
        <f t="shared" si="38"/>
        <v>1.0511712311031487</v>
      </c>
    </row>
    <row r="301" spans="1:11" ht="15.75" customHeight="1">
      <c r="A301" s="4" t="str">
        <f t="shared" si="35"/>
        <v>Oct</v>
      </c>
      <c r="B301" s="4">
        <v>300</v>
      </c>
      <c r="C301" s="3">
        <v>21850</v>
      </c>
      <c r="D301" s="4">
        <v>28</v>
      </c>
      <c r="E301" s="13">
        <f t="shared" si="36"/>
        <v>44.213714670687501</v>
      </c>
      <c r="F301" s="13">
        <f t="shared" si="37"/>
        <v>46.476184882029926</v>
      </c>
      <c r="G301" s="13">
        <f t="shared" si="39"/>
        <v>-18.476184882029926</v>
      </c>
      <c r="H301" s="13">
        <f t="shared" si="40"/>
        <v>18.476184882029926</v>
      </c>
      <c r="I301" s="13">
        <f t="shared" si="41"/>
        <v>341.3694077949512</v>
      </c>
      <c r="J301" s="5">
        <f t="shared" si="42"/>
        <v>0.65986374578678308</v>
      </c>
      <c r="K301" s="8">
        <f t="shared" si="38"/>
        <v>1.0511712311031487</v>
      </c>
    </row>
    <row r="302" spans="1:11" ht="15.75" customHeight="1">
      <c r="A302" s="4" t="str">
        <f t="shared" si="35"/>
        <v>Oct</v>
      </c>
      <c r="B302" s="4">
        <v>301</v>
      </c>
      <c r="C302" s="3">
        <v>21851</v>
      </c>
      <c r="D302" s="4">
        <v>44</v>
      </c>
      <c r="E302" s="13">
        <f t="shared" si="36"/>
        <v>44.232799224130915</v>
      </c>
      <c r="F302" s="13">
        <f t="shared" si="37"/>
        <v>46.496246015568097</v>
      </c>
      <c r="G302" s="13">
        <f t="shared" si="39"/>
        <v>-2.4962460155680972</v>
      </c>
      <c r="H302" s="13">
        <f t="shared" si="40"/>
        <v>2.4962460155680972</v>
      </c>
      <c r="I302" s="13">
        <f t="shared" si="41"/>
        <v>6.2312441702396013</v>
      </c>
      <c r="J302" s="5">
        <f t="shared" si="42"/>
        <v>5.6732863990184026E-2</v>
      </c>
      <c r="K302" s="8">
        <f t="shared" si="38"/>
        <v>1.0511712311031487</v>
      </c>
    </row>
    <row r="303" spans="1:11" ht="15.75" customHeight="1">
      <c r="A303" s="4" t="str">
        <f t="shared" si="35"/>
        <v>Oct</v>
      </c>
      <c r="B303" s="4">
        <v>302</v>
      </c>
      <c r="C303" s="3">
        <v>21852</v>
      </c>
      <c r="D303" s="4">
        <v>36</v>
      </c>
      <c r="E303" s="13">
        <f t="shared" si="36"/>
        <v>44.251883777574328</v>
      </c>
      <c r="F303" s="13">
        <f t="shared" si="37"/>
        <v>46.516307149106261</v>
      </c>
      <c r="G303" s="13">
        <f t="shared" si="39"/>
        <v>-10.516307149106261</v>
      </c>
      <c r="H303" s="13">
        <f t="shared" si="40"/>
        <v>10.516307149106261</v>
      </c>
      <c r="I303" s="13">
        <f t="shared" si="41"/>
        <v>110.59271605434346</v>
      </c>
      <c r="J303" s="5">
        <f t="shared" si="42"/>
        <v>0.29211964303072946</v>
      </c>
      <c r="K303" s="8">
        <f t="shared" si="38"/>
        <v>1.0511712311031487</v>
      </c>
    </row>
    <row r="304" spans="1:11" ht="15.75" customHeight="1">
      <c r="A304" s="4" t="str">
        <f t="shared" si="35"/>
        <v>Oct</v>
      </c>
      <c r="B304" s="4">
        <v>303</v>
      </c>
      <c r="C304" s="3">
        <v>21853</v>
      </c>
      <c r="D304" s="4">
        <v>45</v>
      </c>
      <c r="E304" s="13">
        <f t="shared" si="36"/>
        <v>44.270968331017741</v>
      </c>
      <c r="F304" s="13">
        <f t="shared" si="37"/>
        <v>46.536368282644425</v>
      </c>
      <c r="G304" s="13">
        <f t="shared" si="39"/>
        <v>-1.5363682826444247</v>
      </c>
      <c r="H304" s="13">
        <f t="shared" si="40"/>
        <v>1.5363682826444247</v>
      </c>
      <c r="I304" s="13">
        <f t="shared" si="41"/>
        <v>2.360427499915779</v>
      </c>
      <c r="J304" s="5">
        <f t="shared" si="42"/>
        <v>3.4141517392098329E-2</v>
      </c>
      <c r="K304" s="8">
        <f t="shared" si="38"/>
        <v>1.0511712311031487</v>
      </c>
    </row>
    <row r="305" spans="1:11" ht="15.75" customHeight="1">
      <c r="A305" s="4" t="str">
        <f t="shared" si="35"/>
        <v>Oct</v>
      </c>
      <c r="B305" s="4">
        <v>304</v>
      </c>
      <c r="C305" s="3">
        <v>21854</v>
      </c>
      <c r="D305" s="4">
        <v>46</v>
      </c>
      <c r="E305" s="13">
        <f t="shared" si="36"/>
        <v>44.290052884461147</v>
      </c>
      <c r="F305" s="13">
        <f t="shared" si="37"/>
        <v>46.556429416182588</v>
      </c>
      <c r="G305" s="13">
        <f t="shared" si="39"/>
        <v>-0.55642941618258845</v>
      </c>
      <c r="H305" s="13">
        <f t="shared" si="40"/>
        <v>0.55642941618258845</v>
      </c>
      <c r="I305" s="13">
        <f t="shared" si="41"/>
        <v>0.30961369519329623</v>
      </c>
      <c r="J305" s="5">
        <f t="shared" si="42"/>
        <v>1.2096291656143227E-2</v>
      </c>
      <c r="K305" s="8">
        <f t="shared" si="38"/>
        <v>1.0511712311031487</v>
      </c>
    </row>
    <row r="306" spans="1:11" ht="15.75" customHeight="1">
      <c r="A306" s="4" t="str">
        <f t="shared" si="35"/>
        <v>Nov</v>
      </c>
      <c r="B306" s="4">
        <v>305</v>
      </c>
      <c r="C306" s="3">
        <v>21855</v>
      </c>
      <c r="D306" s="4">
        <v>48</v>
      </c>
      <c r="E306" s="13">
        <f t="shared" si="36"/>
        <v>44.30913743790456</v>
      </c>
      <c r="F306" s="13">
        <f t="shared" si="37"/>
        <v>47.495763389517876</v>
      </c>
      <c r="G306" s="13">
        <f t="shared" si="39"/>
        <v>0.50423661048212409</v>
      </c>
      <c r="H306" s="13">
        <f t="shared" si="40"/>
        <v>0.50423661048212409</v>
      </c>
      <c r="I306" s="13">
        <f t="shared" si="41"/>
        <v>0.25425455935050134</v>
      </c>
      <c r="J306" s="5">
        <f t="shared" si="42"/>
        <v>1.0504929385044251E-2</v>
      </c>
      <c r="K306" s="8">
        <f t="shared" si="38"/>
        <v>1.0719180317170267</v>
      </c>
    </row>
    <row r="307" spans="1:11" ht="15.75" customHeight="1">
      <c r="A307" s="4" t="str">
        <f t="shared" si="35"/>
        <v>Nov</v>
      </c>
      <c r="B307" s="4">
        <v>306</v>
      </c>
      <c r="C307" s="3">
        <v>21856</v>
      </c>
      <c r="D307" s="4">
        <v>49</v>
      </c>
      <c r="E307" s="13">
        <f t="shared" si="36"/>
        <v>44.328221991347974</v>
      </c>
      <c r="F307" s="13">
        <f t="shared" si="37"/>
        <v>47.516220466481137</v>
      </c>
      <c r="G307" s="13">
        <f t="shared" si="39"/>
        <v>1.483779533518863</v>
      </c>
      <c r="H307" s="13">
        <f t="shared" si="40"/>
        <v>1.483779533518863</v>
      </c>
      <c r="I307" s="13">
        <f t="shared" si="41"/>
        <v>2.2016017040894549</v>
      </c>
      <c r="J307" s="5">
        <f t="shared" si="42"/>
        <v>3.0281214969772714E-2</v>
      </c>
      <c r="K307" s="8">
        <f t="shared" si="38"/>
        <v>1.0719180317170267</v>
      </c>
    </row>
    <row r="308" spans="1:11" ht="15.75" customHeight="1">
      <c r="A308" s="4" t="str">
        <f t="shared" si="35"/>
        <v>Nov</v>
      </c>
      <c r="B308" s="4">
        <v>307</v>
      </c>
      <c r="C308" s="3">
        <v>21857</v>
      </c>
      <c r="D308" s="4">
        <v>43</v>
      </c>
      <c r="E308" s="13">
        <f t="shared" si="36"/>
        <v>44.347306544791387</v>
      </c>
      <c r="F308" s="13">
        <f t="shared" si="37"/>
        <v>47.536677543444398</v>
      </c>
      <c r="G308" s="13">
        <f t="shared" si="39"/>
        <v>-4.536677543444398</v>
      </c>
      <c r="H308" s="13">
        <f t="shared" si="40"/>
        <v>4.536677543444398</v>
      </c>
      <c r="I308" s="13">
        <f t="shared" si="41"/>
        <v>20.581443133192696</v>
      </c>
      <c r="J308" s="5">
        <f t="shared" si="42"/>
        <v>0.10550412891731158</v>
      </c>
      <c r="K308" s="8">
        <f t="shared" si="38"/>
        <v>1.0719180317170267</v>
      </c>
    </row>
    <row r="309" spans="1:11" ht="15.75" customHeight="1">
      <c r="A309" s="4" t="str">
        <f t="shared" si="35"/>
        <v>Nov</v>
      </c>
      <c r="B309" s="4">
        <v>308</v>
      </c>
      <c r="C309" s="3">
        <v>21858</v>
      </c>
      <c r="D309" s="4">
        <v>42</v>
      </c>
      <c r="E309" s="13">
        <f t="shared" si="36"/>
        <v>44.3663910982348</v>
      </c>
      <c r="F309" s="13">
        <f t="shared" si="37"/>
        <v>47.557134620407659</v>
      </c>
      <c r="G309" s="13">
        <f t="shared" si="39"/>
        <v>-5.557134620407659</v>
      </c>
      <c r="H309" s="13">
        <f t="shared" si="40"/>
        <v>5.557134620407659</v>
      </c>
      <c r="I309" s="13">
        <f t="shared" si="41"/>
        <v>30.881745189333376</v>
      </c>
      <c r="J309" s="5">
        <f t="shared" si="42"/>
        <v>0.13231272905732522</v>
      </c>
      <c r="K309" s="8">
        <f t="shared" si="38"/>
        <v>1.0719180317170267</v>
      </c>
    </row>
    <row r="310" spans="1:11" ht="15.75" customHeight="1">
      <c r="A310" s="4" t="str">
        <f t="shared" si="35"/>
        <v>Nov</v>
      </c>
      <c r="B310" s="4">
        <v>309</v>
      </c>
      <c r="C310" s="3">
        <v>21859</v>
      </c>
      <c r="D310" s="4">
        <v>59</v>
      </c>
      <c r="E310" s="13">
        <f t="shared" si="36"/>
        <v>44.385475651678213</v>
      </c>
      <c r="F310" s="13">
        <f t="shared" si="37"/>
        <v>47.577591697370927</v>
      </c>
      <c r="G310" s="13">
        <f t="shared" si="39"/>
        <v>11.422408302629073</v>
      </c>
      <c r="H310" s="13">
        <f t="shared" si="40"/>
        <v>11.422408302629073</v>
      </c>
      <c r="I310" s="13">
        <f t="shared" si="41"/>
        <v>130.47141143196959</v>
      </c>
      <c r="J310" s="5">
        <f t="shared" si="42"/>
        <v>0.19360014072252665</v>
      </c>
      <c r="K310" s="8">
        <f t="shared" si="38"/>
        <v>1.0719180317170267</v>
      </c>
    </row>
    <row r="311" spans="1:11" ht="15.75" customHeight="1">
      <c r="A311" s="4" t="str">
        <f t="shared" si="35"/>
        <v>Nov</v>
      </c>
      <c r="B311" s="4">
        <v>310</v>
      </c>
      <c r="C311" s="3">
        <v>21860</v>
      </c>
      <c r="D311" s="4">
        <v>45</v>
      </c>
      <c r="E311" s="13">
        <f t="shared" si="36"/>
        <v>44.404560205121626</v>
      </c>
      <c r="F311" s="13">
        <f t="shared" si="37"/>
        <v>47.598048774334188</v>
      </c>
      <c r="G311" s="13">
        <f t="shared" si="39"/>
        <v>-2.5980487743341882</v>
      </c>
      <c r="H311" s="13">
        <f t="shared" si="40"/>
        <v>2.5980487743341882</v>
      </c>
      <c r="I311" s="13">
        <f t="shared" si="41"/>
        <v>6.7498574338193782</v>
      </c>
      <c r="J311" s="5">
        <f t="shared" si="42"/>
        <v>5.7734417207426406E-2</v>
      </c>
      <c r="K311" s="8">
        <f t="shared" si="38"/>
        <v>1.0719180317170267</v>
      </c>
    </row>
    <row r="312" spans="1:11" ht="15.75" customHeight="1">
      <c r="A312" s="4" t="str">
        <f t="shared" si="35"/>
        <v>Nov</v>
      </c>
      <c r="B312" s="4">
        <v>311</v>
      </c>
      <c r="C312" s="3">
        <v>21861</v>
      </c>
      <c r="D312" s="4">
        <v>52</v>
      </c>
      <c r="E312" s="13">
        <f t="shared" si="36"/>
        <v>44.42364475856504</v>
      </c>
      <c r="F312" s="13">
        <f t="shared" si="37"/>
        <v>47.618505851297449</v>
      </c>
      <c r="G312" s="13">
        <f t="shared" si="39"/>
        <v>4.3814941487025507</v>
      </c>
      <c r="H312" s="13">
        <f t="shared" si="40"/>
        <v>4.3814941487025507</v>
      </c>
      <c r="I312" s="13">
        <f t="shared" si="41"/>
        <v>19.19749097511469</v>
      </c>
      <c r="J312" s="5">
        <f t="shared" si="42"/>
        <v>8.4259502859664437E-2</v>
      </c>
      <c r="K312" s="8">
        <f t="shared" si="38"/>
        <v>1.0719180317170267</v>
      </c>
    </row>
    <row r="313" spans="1:11" ht="15.75" customHeight="1">
      <c r="A313" s="4" t="str">
        <f t="shared" si="35"/>
        <v>Nov</v>
      </c>
      <c r="B313" s="4">
        <v>312</v>
      </c>
      <c r="C313" s="3">
        <v>21862</v>
      </c>
      <c r="D313" s="4">
        <v>46</v>
      </c>
      <c r="E313" s="13">
        <f t="shared" si="36"/>
        <v>44.442729312008453</v>
      </c>
      <c r="F313" s="13">
        <f t="shared" si="37"/>
        <v>47.63896292826071</v>
      </c>
      <c r="G313" s="13">
        <f t="shared" si="39"/>
        <v>-1.6389629282607103</v>
      </c>
      <c r="H313" s="13">
        <f t="shared" si="40"/>
        <v>1.6389629282607103</v>
      </c>
      <c r="I313" s="13">
        <f t="shared" si="41"/>
        <v>2.6861994802129221</v>
      </c>
      <c r="J313" s="5">
        <f t="shared" si="42"/>
        <v>3.5629628875232834E-2</v>
      </c>
      <c r="K313" s="8">
        <f t="shared" si="38"/>
        <v>1.0719180317170267</v>
      </c>
    </row>
    <row r="314" spans="1:11" ht="15.75" customHeight="1">
      <c r="A314" s="4" t="str">
        <f t="shared" si="35"/>
        <v>Nov</v>
      </c>
      <c r="B314" s="4">
        <v>313</v>
      </c>
      <c r="C314" s="3">
        <v>21863</v>
      </c>
      <c r="D314" s="4">
        <v>42</v>
      </c>
      <c r="E314" s="13">
        <f t="shared" si="36"/>
        <v>44.461813865451866</v>
      </c>
      <c r="F314" s="13">
        <f t="shared" si="37"/>
        <v>47.659420005223971</v>
      </c>
      <c r="G314" s="13">
        <f t="shared" si="39"/>
        <v>-5.6594200052239714</v>
      </c>
      <c r="H314" s="13">
        <f t="shared" si="40"/>
        <v>5.6594200052239714</v>
      </c>
      <c r="I314" s="13">
        <f t="shared" si="41"/>
        <v>32.029034795529299</v>
      </c>
      <c r="J314" s="5">
        <f t="shared" si="42"/>
        <v>0.13474809536247551</v>
      </c>
      <c r="K314" s="8">
        <f t="shared" si="38"/>
        <v>1.0719180317170267</v>
      </c>
    </row>
    <row r="315" spans="1:11" ht="15.75" customHeight="1">
      <c r="A315" s="4" t="str">
        <f t="shared" si="35"/>
        <v>Nov</v>
      </c>
      <c r="B315" s="4">
        <v>314</v>
      </c>
      <c r="C315" s="3">
        <v>21864</v>
      </c>
      <c r="D315" s="4">
        <v>40</v>
      </c>
      <c r="E315" s="13">
        <f t="shared" si="36"/>
        <v>44.480898418895279</v>
      </c>
      <c r="F315" s="13">
        <f t="shared" si="37"/>
        <v>47.679877082187232</v>
      </c>
      <c r="G315" s="13">
        <f t="shared" si="39"/>
        <v>-7.6798770821872324</v>
      </c>
      <c r="H315" s="13">
        <f t="shared" si="40"/>
        <v>7.6798770821872324</v>
      </c>
      <c r="I315" s="13">
        <f t="shared" si="41"/>
        <v>58.980511997504678</v>
      </c>
      <c r="J315" s="5">
        <f t="shared" si="42"/>
        <v>0.1919969270546808</v>
      </c>
      <c r="K315" s="8">
        <f t="shared" si="38"/>
        <v>1.0719180317170267</v>
      </c>
    </row>
    <row r="316" spans="1:11" ht="15.75" customHeight="1">
      <c r="A316" s="4" t="str">
        <f t="shared" si="35"/>
        <v>Nov</v>
      </c>
      <c r="B316" s="4">
        <v>315</v>
      </c>
      <c r="C316" s="3">
        <v>21865</v>
      </c>
      <c r="D316" s="4">
        <v>40</v>
      </c>
      <c r="E316" s="13">
        <f t="shared" si="36"/>
        <v>44.499982972338692</v>
      </c>
      <c r="F316" s="13">
        <f t="shared" si="37"/>
        <v>47.700334159150493</v>
      </c>
      <c r="G316" s="13">
        <f t="shared" si="39"/>
        <v>-7.7003341591504935</v>
      </c>
      <c r="H316" s="13">
        <f t="shared" si="40"/>
        <v>7.7003341591504935</v>
      </c>
      <c r="I316" s="13">
        <f t="shared" si="41"/>
        <v>59.29514616257994</v>
      </c>
      <c r="J316" s="5">
        <f t="shared" si="42"/>
        <v>0.19250835397876234</v>
      </c>
      <c r="K316" s="8">
        <f t="shared" si="38"/>
        <v>1.0719180317170267</v>
      </c>
    </row>
    <row r="317" spans="1:11" ht="15.75" customHeight="1">
      <c r="A317" s="4" t="str">
        <f t="shared" si="35"/>
        <v>Nov</v>
      </c>
      <c r="B317" s="4">
        <v>316</v>
      </c>
      <c r="C317" s="3">
        <v>21866</v>
      </c>
      <c r="D317" s="4">
        <v>45</v>
      </c>
      <c r="E317" s="13">
        <f t="shared" si="36"/>
        <v>44.519067525782106</v>
      </c>
      <c r="F317" s="13">
        <f t="shared" si="37"/>
        <v>47.720791236113755</v>
      </c>
      <c r="G317" s="13">
        <f t="shared" si="39"/>
        <v>-2.7207912361137545</v>
      </c>
      <c r="H317" s="13">
        <f t="shared" si="40"/>
        <v>2.7207912361137545</v>
      </c>
      <c r="I317" s="13">
        <f t="shared" si="41"/>
        <v>7.4027049505134119</v>
      </c>
      <c r="J317" s="5">
        <f t="shared" si="42"/>
        <v>6.0462027469194546E-2</v>
      </c>
      <c r="K317" s="8">
        <f t="shared" si="38"/>
        <v>1.0719180317170267</v>
      </c>
    </row>
    <row r="318" spans="1:11" ht="15.75" customHeight="1">
      <c r="A318" s="4" t="str">
        <f t="shared" si="35"/>
        <v>Nov</v>
      </c>
      <c r="B318" s="4">
        <v>317</v>
      </c>
      <c r="C318" s="3">
        <v>21867</v>
      </c>
      <c r="D318" s="4">
        <v>35</v>
      </c>
      <c r="E318" s="13">
        <f t="shared" si="36"/>
        <v>44.538152079225512</v>
      </c>
      <c r="F318" s="13">
        <f t="shared" si="37"/>
        <v>47.741248313077008</v>
      </c>
      <c r="G318" s="13">
        <f t="shared" si="39"/>
        <v>-12.741248313077008</v>
      </c>
      <c r="H318" s="13">
        <f t="shared" si="40"/>
        <v>12.741248313077008</v>
      </c>
      <c r="I318" s="13">
        <f t="shared" si="41"/>
        <v>162.33940857548771</v>
      </c>
      <c r="J318" s="5">
        <f t="shared" si="42"/>
        <v>0.36403566608791454</v>
      </c>
      <c r="K318" s="8">
        <f t="shared" si="38"/>
        <v>1.0719180317170267</v>
      </c>
    </row>
    <row r="319" spans="1:11" ht="15.75" customHeight="1">
      <c r="A319" s="4" t="str">
        <f t="shared" si="35"/>
        <v>Nov</v>
      </c>
      <c r="B319" s="4">
        <v>318</v>
      </c>
      <c r="C319" s="3">
        <v>21868</v>
      </c>
      <c r="D319" s="4">
        <v>35</v>
      </c>
      <c r="E319" s="13">
        <f t="shared" si="36"/>
        <v>44.557236632668925</v>
      </c>
      <c r="F319" s="13">
        <f t="shared" si="37"/>
        <v>47.761705390040269</v>
      </c>
      <c r="G319" s="13">
        <f t="shared" si="39"/>
        <v>-12.761705390040269</v>
      </c>
      <c r="H319" s="13">
        <f t="shared" si="40"/>
        <v>12.761705390040269</v>
      </c>
      <c r="I319" s="13">
        <f t="shared" si="41"/>
        <v>162.86112446218286</v>
      </c>
      <c r="J319" s="5">
        <f t="shared" si="42"/>
        <v>0.36462015400115055</v>
      </c>
      <c r="K319" s="8">
        <f t="shared" si="38"/>
        <v>1.0719180317170267</v>
      </c>
    </row>
    <row r="320" spans="1:11" ht="15.75" customHeight="1">
      <c r="A320" s="4" t="str">
        <f t="shared" si="35"/>
        <v>Nov</v>
      </c>
      <c r="B320" s="4">
        <v>319</v>
      </c>
      <c r="C320" s="3">
        <v>21869</v>
      </c>
      <c r="D320" s="4">
        <v>40</v>
      </c>
      <c r="E320" s="13">
        <f t="shared" si="36"/>
        <v>44.576321186112338</v>
      </c>
      <c r="F320" s="13">
        <f t="shared" si="37"/>
        <v>47.782162467003538</v>
      </c>
      <c r="G320" s="13">
        <f t="shared" si="39"/>
        <v>-7.7821624670035376</v>
      </c>
      <c r="H320" s="13">
        <f t="shared" si="40"/>
        <v>7.7821624670035376</v>
      </c>
      <c r="I320" s="13">
        <f t="shared" si="41"/>
        <v>60.562052662838589</v>
      </c>
      <c r="J320" s="5">
        <f t="shared" si="42"/>
        <v>0.19455406167508843</v>
      </c>
      <c r="K320" s="8">
        <f t="shared" si="38"/>
        <v>1.0719180317170267</v>
      </c>
    </row>
    <row r="321" spans="1:11" ht="15.75" customHeight="1">
      <c r="A321" s="4" t="str">
        <f t="shared" si="35"/>
        <v>Nov</v>
      </c>
      <c r="B321" s="4">
        <v>320</v>
      </c>
      <c r="C321" s="3">
        <v>21870</v>
      </c>
      <c r="D321" s="4">
        <v>39</v>
      </c>
      <c r="E321" s="13">
        <f t="shared" si="36"/>
        <v>44.595405739555751</v>
      </c>
      <c r="F321" s="13">
        <f t="shared" si="37"/>
        <v>47.802619543966799</v>
      </c>
      <c r="G321" s="13">
        <f t="shared" si="39"/>
        <v>-8.8026195439667987</v>
      </c>
      <c r="H321" s="13">
        <f t="shared" si="40"/>
        <v>8.8026195439667987</v>
      </c>
      <c r="I321" s="13">
        <f t="shared" si="41"/>
        <v>77.486110835826253</v>
      </c>
      <c r="J321" s="5">
        <f t="shared" si="42"/>
        <v>0.22570819343504611</v>
      </c>
      <c r="K321" s="8">
        <f t="shared" si="38"/>
        <v>1.0719180317170267</v>
      </c>
    </row>
    <row r="322" spans="1:11" ht="15.75" customHeight="1">
      <c r="A322" s="4" t="str">
        <f t="shared" ref="A322:A366" si="43">IF(MONTH(C322)=1, "Jan",  IF(MONTH(C322) = 2, "Feb", IF(MONTH(C322) = 3, "Mar", IF(MONTH(C322) = 4, "Apr", IF(MONTH(C322) = 5, "May", IF(MONTH(C322) = 6, "Jun", IF(MONTH(C322) = 7, "Jul", IF(MONTH(C322) = 8, "Aug", IF(MONTH(C322) = 9, "Sep", IF(MONTH(C322) = 10, "Oct", IF(MONTH(C322) = 11, "Nov", "Dec")))))))))))</f>
        <v>Nov</v>
      </c>
      <c r="B322" s="4">
        <v>321</v>
      </c>
      <c r="C322" s="3">
        <v>21871</v>
      </c>
      <c r="D322" s="4">
        <v>33</v>
      </c>
      <c r="E322" s="13">
        <f t="shared" ref="E322:E366" si="44">$O$2+($O$3*B322)</f>
        <v>44.614490292999164</v>
      </c>
      <c r="F322" s="13">
        <f t="shared" ref="F322:F385" si="45">E322*K322</f>
        <v>47.82307662093006</v>
      </c>
      <c r="G322" s="13">
        <f t="shared" si="39"/>
        <v>-14.82307662093006</v>
      </c>
      <c r="H322" s="13">
        <f t="shared" si="40"/>
        <v>14.82307662093006</v>
      </c>
      <c r="I322" s="13">
        <f t="shared" si="41"/>
        <v>219.72360050996332</v>
      </c>
      <c r="J322" s="5">
        <f t="shared" si="42"/>
        <v>0.44918414002818363</v>
      </c>
      <c r="K322" s="8">
        <f t="shared" ref="K322:K366" si="46">VLOOKUP(A322,$V$7:$Y$19,4,FALSE)</f>
        <v>1.0719180317170267</v>
      </c>
    </row>
    <row r="323" spans="1:11" ht="15.75" customHeight="1">
      <c r="A323" s="4" t="str">
        <f t="shared" si="43"/>
        <v>Nov</v>
      </c>
      <c r="B323" s="4">
        <v>322</v>
      </c>
      <c r="C323" s="3">
        <v>21872</v>
      </c>
      <c r="D323" s="4">
        <v>42</v>
      </c>
      <c r="E323" s="13">
        <f t="shared" si="44"/>
        <v>44.633574846442578</v>
      </c>
      <c r="F323" s="13">
        <f t="shared" si="45"/>
        <v>47.843533697893321</v>
      </c>
      <c r="G323" s="13">
        <f t="shared" ref="G323:G366" si="47">D323-F323</f>
        <v>-5.8435336978933208</v>
      </c>
      <c r="H323" s="13">
        <f t="shared" ref="H323:H366" si="48">ABS(G323)</f>
        <v>5.8435336978933208</v>
      </c>
      <c r="I323" s="13">
        <f t="shared" ref="I323:I366" si="49">H323^2</f>
        <v>34.146886078414788</v>
      </c>
      <c r="J323" s="5">
        <f t="shared" ref="J323:J366" si="50">H323/D323</f>
        <v>0.13913175471174574</v>
      </c>
      <c r="K323" s="8">
        <f t="shared" si="46"/>
        <v>1.0719180317170267</v>
      </c>
    </row>
    <row r="324" spans="1:11" ht="15.75" customHeight="1">
      <c r="A324" s="4" t="str">
        <f t="shared" si="43"/>
        <v>Nov</v>
      </c>
      <c r="B324" s="4">
        <v>323</v>
      </c>
      <c r="C324" s="3">
        <v>21873</v>
      </c>
      <c r="D324" s="4">
        <v>47</v>
      </c>
      <c r="E324" s="13">
        <f t="shared" si="44"/>
        <v>44.652659399885991</v>
      </c>
      <c r="F324" s="13">
        <f t="shared" si="45"/>
        <v>47.863990774856582</v>
      </c>
      <c r="G324" s="13">
        <f t="shared" si="47"/>
        <v>-0.86399077485658182</v>
      </c>
      <c r="H324" s="13">
        <f t="shared" si="48"/>
        <v>0.86399077485658182</v>
      </c>
      <c r="I324" s="13">
        <f t="shared" si="49"/>
        <v>0.74648005903727666</v>
      </c>
      <c r="J324" s="5">
        <f t="shared" si="50"/>
        <v>1.8382782443757059E-2</v>
      </c>
      <c r="K324" s="8">
        <f t="shared" si="46"/>
        <v>1.0719180317170267</v>
      </c>
    </row>
    <row r="325" spans="1:11" ht="15.75" customHeight="1">
      <c r="A325" s="4" t="str">
        <f t="shared" si="43"/>
        <v>Nov</v>
      </c>
      <c r="B325" s="4">
        <v>324</v>
      </c>
      <c r="C325" s="3">
        <v>21874</v>
      </c>
      <c r="D325" s="4">
        <v>51</v>
      </c>
      <c r="E325" s="13">
        <f t="shared" si="44"/>
        <v>44.671743953329404</v>
      </c>
      <c r="F325" s="13">
        <f t="shared" si="45"/>
        <v>47.884447851819843</v>
      </c>
      <c r="G325" s="13">
        <f t="shared" si="47"/>
        <v>3.1155521481801571</v>
      </c>
      <c r="H325" s="13">
        <f t="shared" si="48"/>
        <v>3.1155521481801571</v>
      </c>
      <c r="I325" s="13">
        <f t="shared" si="49"/>
        <v>9.7066651880299926</v>
      </c>
      <c r="J325" s="5">
        <f t="shared" si="50"/>
        <v>6.1089257807454063E-2</v>
      </c>
      <c r="K325" s="8">
        <f t="shared" si="46"/>
        <v>1.0719180317170267</v>
      </c>
    </row>
    <row r="326" spans="1:11" ht="15.75" customHeight="1">
      <c r="A326" s="4" t="str">
        <f t="shared" si="43"/>
        <v>Nov</v>
      </c>
      <c r="B326" s="4">
        <v>325</v>
      </c>
      <c r="C326" s="3">
        <v>21875</v>
      </c>
      <c r="D326" s="4">
        <v>44</v>
      </c>
      <c r="E326" s="13">
        <f t="shared" si="44"/>
        <v>44.690828506772817</v>
      </c>
      <c r="F326" s="13">
        <f t="shared" si="45"/>
        <v>47.904904928783104</v>
      </c>
      <c r="G326" s="13">
        <f t="shared" si="47"/>
        <v>-3.9049049287831039</v>
      </c>
      <c r="H326" s="13">
        <f t="shared" si="48"/>
        <v>3.9049049287831039</v>
      </c>
      <c r="I326" s="13">
        <f t="shared" si="49"/>
        <v>15.248282502834577</v>
      </c>
      <c r="J326" s="5">
        <f t="shared" si="50"/>
        <v>8.8747839290525085E-2</v>
      </c>
      <c r="K326" s="8">
        <f t="shared" si="46"/>
        <v>1.0719180317170267</v>
      </c>
    </row>
    <row r="327" spans="1:11" ht="15.75" customHeight="1">
      <c r="A327" s="4" t="str">
        <f t="shared" si="43"/>
        <v>Nov</v>
      </c>
      <c r="B327" s="4">
        <v>326</v>
      </c>
      <c r="C327" s="3">
        <v>21876</v>
      </c>
      <c r="D327" s="4">
        <v>40</v>
      </c>
      <c r="E327" s="13">
        <f t="shared" si="44"/>
        <v>44.70991306021623</v>
      </c>
      <c r="F327" s="13">
        <f t="shared" si="45"/>
        <v>47.925362005746365</v>
      </c>
      <c r="G327" s="13">
        <f t="shared" si="47"/>
        <v>-7.925362005746365</v>
      </c>
      <c r="H327" s="13">
        <f t="shared" si="48"/>
        <v>7.925362005746365</v>
      </c>
      <c r="I327" s="13">
        <f t="shared" si="49"/>
        <v>62.811362922128048</v>
      </c>
      <c r="J327" s="5">
        <f t="shared" si="50"/>
        <v>0.19813405014365912</v>
      </c>
      <c r="K327" s="8">
        <f t="shared" si="46"/>
        <v>1.0719180317170267</v>
      </c>
    </row>
    <row r="328" spans="1:11" ht="15.75" customHeight="1">
      <c r="A328" s="4" t="str">
        <f t="shared" si="43"/>
        <v>Nov</v>
      </c>
      <c r="B328" s="4">
        <v>327</v>
      </c>
      <c r="C328" s="3">
        <v>21877</v>
      </c>
      <c r="D328" s="4">
        <v>57</v>
      </c>
      <c r="E328" s="13">
        <f t="shared" si="44"/>
        <v>44.728997613659644</v>
      </c>
      <c r="F328" s="13">
        <f t="shared" si="45"/>
        <v>47.945819082709633</v>
      </c>
      <c r="G328" s="13">
        <f t="shared" si="47"/>
        <v>9.0541809172903669</v>
      </c>
      <c r="H328" s="13">
        <f t="shared" si="48"/>
        <v>9.0541809172903669</v>
      </c>
      <c r="I328" s="13">
        <f t="shared" si="49"/>
        <v>81.978192083025036</v>
      </c>
      <c r="J328" s="5">
        <f t="shared" si="50"/>
        <v>0.15884527925070818</v>
      </c>
      <c r="K328" s="8">
        <f t="shared" si="46"/>
        <v>1.0719180317170267</v>
      </c>
    </row>
    <row r="329" spans="1:11" ht="15.75" customHeight="1">
      <c r="A329" s="4" t="str">
        <f t="shared" si="43"/>
        <v>Nov</v>
      </c>
      <c r="B329" s="4">
        <v>328</v>
      </c>
      <c r="C329" s="3">
        <v>21878</v>
      </c>
      <c r="D329" s="4">
        <v>49</v>
      </c>
      <c r="E329" s="13">
        <f t="shared" si="44"/>
        <v>44.748082167103057</v>
      </c>
      <c r="F329" s="13">
        <f t="shared" si="45"/>
        <v>47.966276159672894</v>
      </c>
      <c r="G329" s="13">
        <f t="shared" si="47"/>
        <v>1.0337238403271058</v>
      </c>
      <c r="H329" s="13">
        <f t="shared" si="48"/>
        <v>1.0337238403271058</v>
      </c>
      <c r="I329" s="13">
        <f t="shared" si="49"/>
        <v>1.0685849780606198</v>
      </c>
      <c r="J329" s="5">
        <f t="shared" si="50"/>
        <v>2.1096404904634814E-2</v>
      </c>
      <c r="K329" s="8">
        <f t="shared" si="46"/>
        <v>1.0719180317170267</v>
      </c>
    </row>
    <row r="330" spans="1:11" ht="15.75" customHeight="1">
      <c r="A330" s="4" t="str">
        <f t="shared" si="43"/>
        <v>Nov</v>
      </c>
      <c r="B330" s="4">
        <v>329</v>
      </c>
      <c r="C330" s="3">
        <v>21879</v>
      </c>
      <c r="D330" s="4">
        <v>45</v>
      </c>
      <c r="E330" s="13">
        <f t="shared" si="44"/>
        <v>44.76716672054647</v>
      </c>
      <c r="F330" s="13">
        <f t="shared" si="45"/>
        <v>47.986733236636155</v>
      </c>
      <c r="G330" s="13">
        <f t="shared" si="47"/>
        <v>-2.9867332366361552</v>
      </c>
      <c r="H330" s="13">
        <f t="shared" si="48"/>
        <v>2.9867332366361552</v>
      </c>
      <c r="I330" s="13">
        <f t="shared" si="49"/>
        <v>8.9205754268270834</v>
      </c>
      <c r="J330" s="5">
        <f t="shared" si="50"/>
        <v>6.6371849703025676E-2</v>
      </c>
      <c r="K330" s="8">
        <f t="shared" si="46"/>
        <v>1.0719180317170267</v>
      </c>
    </row>
    <row r="331" spans="1:11" ht="15.75" customHeight="1">
      <c r="A331" s="4" t="str">
        <f t="shared" si="43"/>
        <v>Nov</v>
      </c>
      <c r="B331" s="4">
        <v>330</v>
      </c>
      <c r="C331" s="3">
        <v>21880</v>
      </c>
      <c r="D331" s="4">
        <v>49</v>
      </c>
      <c r="E331" s="13">
        <f t="shared" si="44"/>
        <v>44.786251273989876</v>
      </c>
      <c r="F331" s="13">
        <f t="shared" si="45"/>
        <v>48.007190313599409</v>
      </c>
      <c r="G331" s="13">
        <f t="shared" si="47"/>
        <v>0.99280968640059086</v>
      </c>
      <c r="H331" s="13">
        <f t="shared" si="48"/>
        <v>0.99280968640059086</v>
      </c>
      <c r="I331" s="13">
        <f t="shared" si="49"/>
        <v>0.98567107341083959</v>
      </c>
      <c r="J331" s="5">
        <f t="shared" si="50"/>
        <v>2.026142217144063E-2</v>
      </c>
      <c r="K331" s="8">
        <f t="shared" si="46"/>
        <v>1.0719180317170267</v>
      </c>
    </row>
    <row r="332" spans="1:11" ht="15.75" customHeight="1">
      <c r="A332" s="4" t="str">
        <f t="shared" si="43"/>
        <v>Nov</v>
      </c>
      <c r="B332" s="4">
        <v>331</v>
      </c>
      <c r="C332" s="3">
        <v>21881</v>
      </c>
      <c r="D332" s="4">
        <v>51</v>
      </c>
      <c r="E332" s="13">
        <f t="shared" si="44"/>
        <v>44.805335827433289</v>
      </c>
      <c r="F332" s="13">
        <f t="shared" si="45"/>
        <v>48.02764739056267</v>
      </c>
      <c r="G332" s="13">
        <f t="shared" si="47"/>
        <v>2.9723526094373298</v>
      </c>
      <c r="H332" s="13">
        <f t="shared" si="48"/>
        <v>2.9723526094373298</v>
      </c>
      <c r="I332" s="13">
        <f t="shared" si="49"/>
        <v>8.8348800348289043</v>
      </c>
      <c r="J332" s="5">
        <f t="shared" si="50"/>
        <v>5.828142371445745E-2</v>
      </c>
      <c r="K332" s="8">
        <f t="shared" si="46"/>
        <v>1.0719180317170267</v>
      </c>
    </row>
    <row r="333" spans="1:11" ht="15.75" customHeight="1">
      <c r="A333" s="4" t="str">
        <f t="shared" si="43"/>
        <v>Nov</v>
      </c>
      <c r="B333" s="4">
        <v>332</v>
      </c>
      <c r="C333" s="3">
        <v>21882</v>
      </c>
      <c r="D333" s="4">
        <v>46</v>
      </c>
      <c r="E333" s="13">
        <f t="shared" si="44"/>
        <v>44.824420380876703</v>
      </c>
      <c r="F333" s="13">
        <f t="shared" si="45"/>
        <v>48.048104467525931</v>
      </c>
      <c r="G333" s="13">
        <f t="shared" si="47"/>
        <v>-2.0481044675259312</v>
      </c>
      <c r="H333" s="13">
        <f t="shared" si="48"/>
        <v>2.0481044675259312</v>
      </c>
      <c r="I333" s="13">
        <f t="shared" si="49"/>
        <v>4.1947319098996783</v>
      </c>
      <c r="J333" s="5">
        <f t="shared" si="50"/>
        <v>4.45240101636072E-2</v>
      </c>
      <c r="K333" s="8">
        <f t="shared" si="46"/>
        <v>1.0719180317170267</v>
      </c>
    </row>
    <row r="334" spans="1:11" ht="15.75" customHeight="1">
      <c r="A334" s="4" t="str">
        <f t="shared" si="43"/>
        <v>Nov</v>
      </c>
      <c r="B334" s="4">
        <v>333</v>
      </c>
      <c r="C334" s="3">
        <v>21883</v>
      </c>
      <c r="D334" s="4">
        <v>44</v>
      </c>
      <c r="E334" s="13">
        <f t="shared" si="44"/>
        <v>44.843504934320116</v>
      </c>
      <c r="F334" s="13">
        <f t="shared" si="45"/>
        <v>48.068561544489192</v>
      </c>
      <c r="G334" s="13">
        <f t="shared" si="47"/>
        <v>-4.0685615444891923</v>
      </c>
      <c r="H334" s="13">
        <f t="shared" si="48"/>
        <v>4.0685615444891923</v>
      </c>
      <c r="I334" s="13">
        <f t="shared" si="49"/>
        <v>16.553193041296282</v>
      </c>
      <c r="J334" s="5">
        <f t="shared" si="50"/>
        <v>9.2467307829299822E-2</v>
      </c>
      <c r="K334" s="8">
        <f t="shared" si="46"/>
        <v>1.0719180317170267</v>
      </c>
    </row>
    <row r="335" spans="1:11" ht="15.75" customHeight="1">
      <c r="A335" s="4" t="str">
        <f t="shared" si="43"/>
        <v>Nov</v>
      </c>
      <c r="B335" s="4">
        <v>334</v>
      </c>
      <c r="C335" s="3">
        <v>21884</v>
      </c>
      <c r="D335" s="4">
        <v>52</v>
      </c>
      <c r="E335" s="13">
        <f t="shared" si="44"/>
        <v>44.862589487763529</v>
      </c>
      <c r="F335" s="13">
        <f t="shared" si="45"/>
        <v>48.089018621452453</v>
      </c>
      <c r="G335" s="13">
        <f t="shared" si="47"/>
        <v>3.9109813785475467</v>
      </c>
      <c r="H335" s="13">
        <f t="shared" si="48"/>
        <v>3.9109813785475467</v>
      </c>
      <c r="I335" s="13">
        <f t="shared" si="49"/>
        <v>15.295775343345669</v>
      </c>
      <c r="J335" s="5">
        <f t="shared" si="50"/>
        <v>7.5211180356683588E-2</v>
      </c>
      <c r="K335" s="8">
        <f t="shared" si="46"/>
        <v>1.0719180317170267</v>
      </c>
    </row>
    <row r="336" spans="1:11" ht="15.75" customHeight="1">
      <c r="A336" s="4" t="str">
        <f t="shared" si="43"/>
        <v>Dec</v>
      </c>
      <c r="B336" s="4">
        <v>335</v>
      </c>
      <c r="C336" s="3">
        <v>21885</v>
      </c>
      <c r="D336" s="4">
        <v>45</v>
      </c>
      <c r="E336" s="13">
        <f t="shared" si="44"/>
        <v>44.881674041206942</v>
      </c>
      <c r="F336" s="13">
        <f t="shared" si="45"/>
        <v>45.316022270765771</v>
      </c>
      <c r="G336" s="13">
        <f t="shared" si="47"/>
        <v>-0.31602227076577094</v>
      </c>
      <c r="H336" s="13">
        <f t="shared" si="48"/>
        <v>0.31602227076577094</v>
      </c>
      <c r="I336" s="13">
        <f t="shared" si="49"/>
        <v>9.9870075619954243E-2</v>
      </c>
      <c r="J336" s="5">
        <f t="shared" si="50"/>
        <v>7.0227171281282428E-3</v>
      </c>
      <c r="K336" s="8">
        <f t="shared" si="46"/>
        <v>1.0096776298753929</v>
      </c>
    </row>
    <row r="337" spans="1:11" ht="15.75" customHeight="1">
      <c r="A337" s="4" t="str">
        <f t="shared" si="43"/>
        <v>Dec</v>
      </c>
      <c r="B337" s="4">
        <v>336</v>
      </c>
      <c r="C337" s="3">
        <v>21886</v>
      </c>
      <c r="D337" s="4">
        <v>32</v>
      </c>
      <c r="E337" s="13">
        <f t="shared" si="44"/>
        <v>44.900758594650355</v>
      </c>
      <c r="F337" s="13">
        <f t="shared" si="45"/>
        <v>45.335291517453747</v>
      </c>
      <c r="G337" s="13">
        <f t="shared" si="47"/>
        <v>-13.335291517453747</v>
      </c>
      <c r="H337" s="13">
        <f t="shared" si="48"/>
        <v>13.335291517453747</v>
      </c>
      <c r="I337" s="13">
        <f t="shared" si="49"/>
        <v>177.82999985547386</v>
      </c>
      <c r="J337" s="5">
        <f t="shared" si="50"/>
        <v>0.4167278599204296</v>
      </c>
      <c r="K337" s="8">
        <f t="shared" si="46"/>
        <v>1.0096776298753929</v>
      </c>
    </row>
    <row r="338" spans="1:11" ht="15.75" customHeight="1">
      <c r="A338" s="4" t="str">
        <f t="shared" si="43"/>
        <v>Dec</v>
      </c>
      <c r="B338" s="4">
        <v>337</v>
      </c>
      <c r="C338" s="3">
        <v>21887</v>
      </c>
      <c r="D338" s="4">
        <v>46</v>
      </c>
      <c r="E338" s="13">
        <f t="shared" si="44"/>
        <v>44.919843148093769</v>
      </c>
      <c r="F338" s="13">
        <f t="shared" si="45"/>
        <v>45.354560764141723</v>
      </c>
      <c r="G338" s="13">
        <f t="shared" si="47"/>
        <v>0.64543923585827656</v>
      </c>
      <c r="H338" s="13">
        <f t="shared" si="48"/>
        <v>0.64543923585827656</v>
      </c>
      <c r="I338" s="13">
        <f t="shared" si="49"/>
        <v>0.41659180718531597</v>
      </c>
      <c r="J338" s="5">
        <f t="shared" si="50"/>
        <v>1.403128773604949E-2</v>
      </c>
      <c r="K338" s="8">
        <f t="shared" si="46"/>
        <v>1.0096776298753929</v>
      </c>
    </row>
    <row r="339" spans="1:11" ht="15.75" customHeight="1">
      <c r="A339" s="4" t="str">
        <f t="shared" si="43"/>
        <v>Dec</v>
      </c>
      <c r="B339" s="4">
        <v>338</v>
      </c>
      <c r="C339" s="3">
        <v>21888</v>
      </c>
      <c r="D339" s="4">
        <v>41</v>
      </c>
      <c r="E339" s="13">
        <f t="shared" si="44"/>
        <v>44.938927701537182</v>
      </c>
      <c r="F339" s="13">
        <f t="shared" si="45"/>
        <v>45.3738300108297</v>
      </c>
      <c r="G339" s="13">
        <f t="shared" si="47"/>
        <v>-4.3738300108296997</v>
      </c>
      <c r="H339" s="13">
        <f t="shared" si="48"/>
        <v>4.3738300108296997</v>
      </c>
      <c r="I339" s="13">
        <f t="shared" si="49"/>
        <v>19.13038896363453</v>
      </c>
      <c r="J339" s="5">
        <f t="shared" si="50"/>
        <v>0.1066787807519439</v>
      </c>
      <c r="K339" s="8">
        <f t="shared" si="46"/>
        <v>1.0096776298753929</v>
      </c>
    </row>
    <row r="340" spans="1:11" ht="15.75" customHeight="1">
      <c r="A340" s="4" t="str">
        <f t="shared" si="43"/>
        <v>Dec</v>
      </c>
      <c r="B340" s="4">
        <v>339</v>
      </c>
      <c r="C340" s="3">
        <v>21889</v>
      </c>
      <c r="D340" s="4">
        <v>34</v>
      </c>
      <c r="E340" s="13">
        <f t="shared" si="44"/>
        <v>44.958012254980595</v>
      </c>
      <c r="F340" s="13">
        <f t="shared" si="45"/>
        <v>45.393099257517676</v>
      </c>
      <c r="G340" s="13">
        <f t="shared" si="47"/>
        <v>-11.393099257517676</v>
      </c>
      <c r="H340" s="13">
        <f t="shared" si="48"/>
        <v>11.393099257517676</v>
      </c>
      <c r="I340" s="13">
        <f t="shared" si="49"/>
        <v>129.80271069164982</v>
      </c>
      <c r="J340" s="5">
        <f t="shared" si="50"/>
        <v>0.33509115463287281</v>
      </c>
      <c r="K340" s="8">
        <f t="shared" si="46"/>
        <v>1.0096776298753929</v>
      </c>
    </row>
    <row r="341" spans="1:11" ht="15.75" customHeight="1">
      <c r="A341" s="4" t="str">
        <f t="shared" si="43"/>
        <v>Dec</v>
      </c>
      <c r="B341" s="4">
        <v>340</v>
      </c>
      <c r="C341" s="3">
        <v>21890</v>
      </c>
      <c r="D341" s="4">
        <v>33</v>
      </c>
      <c r="E341" s="13">
        <f t="shared" si="44"/>
        <v>44.977096808424008</v>
      </c>
      <c r="F341" s="13">
        <f t="shared" si="45"/>
        <v>45.412368504205652</v>
      </c>
      <c r="G341" s="13">
        <f t="shared" si="47"/>
        <v>-12.412368504205652</v>
      </c>
      <c r="H341" s="13">
        <f t="shared" si="48"/>
        <v>12.412368504205652</v>
      </c>
      <c r="I341" s="13">
        <f t="shared" si="49"/>
        <v>154.06689188419645</v>
      </c>
      <c r="J341" s="5">
        <f t="shared" si="50"/>
        <v>0.37613237891532281</v>
      </c>
      <c r="K341" s="8">
        <f t="shared" si="46"/>
        <v>1.0096776298753929</v>
      </c>
    </row>
    <row r="342" spans="1:11" ht="15.75" customHeight="1">
      <c r="A342" s="4" t="str">
        <f t="shared" si="43"/>
        <v>Dec</v>
      </c>
      <c r="B342" s="4">
        <v>341</v>
      </c>
      <c r="C342" s="3">
        <v>21891</v>
      </c>
      <c r="D342" s="4">
        <v>36</v>
      </c>
      <c r="E342" s="13">
        <f t="shared" si="44"/>
        <v>44.996181361867414</v>
      </c>
      <c r="F342" s="13">
        <f t="shared" si="45"/>
        <v>45.431637750893621</v>
      </c>
      <c r="G342" s="13">
        <f t="shared" si="47"/>
        <v>-9.4316377508936213</v>
      </c>
      <c r="H342" s="13">
        <f t="shared" si="48"/>
        <v>9.4316377508936213</v>
      </c>
      <c r="I342" s="13">
        <f t="shared" si="49"/>
        <v>88.95579066408169</v>
      </c>
      <c r="J342" s="5">
        <f t="shared" si="50"/>
        <v>0.2619899375248228</v>
      </c>
      <c r="K342" s="8">
        <f t="shared" si="46"/>
        <v>1.0096776298753929</v>
      </c>
    </row>
    <row r="343" spans="1:11" ht="15.75" customHeight="1">
      <c r="A343" s="4" t="str">
        <f t="shared" si="43"/>
        <v>Dec</v>
      </c>
      <c r="B343" s="4">
        <v>342</v>
      </c>
      <c r="C343" s="3">
        <v>21892</v>
      </c>
      <c r="D343" s="4">
        <v>49</v>
      </c>
      <c r="E343" s="13">
        <f t="shared" si="44"/>
        <v>45.015265915310835</v>
      </c>
      <c r="F343" s="13">
        <f t="shared" si="45"/>
        <v>45.450906997581605</v>
      </c>
      <c r="G343" s="13">
        <f t="shared" si="47"/>
        <v>3.5490930024183953</v>
      </c>
      <c r="H343" s="13">
        <f t="shared" si="48"/>
        <v>3.5490930024183953</v>
      </c>
      <c r="I343" s="13">
        <f t="shared" si="49"/>
        <v>12.59606113981522</v>
      </c>
      <c r="J343" s="5">
        <f t="shared" si="50"/>
        <v>7.2430469437110109E-2</v>
      </c>
      <c r="K343" s="8">
        <f t="shared" si="46"/>
        <v>1.0096776298753929</v>
      </c>
    </row>
    <row r="344" spans="1:11" ht="15.75" customHeight="1">
      <c r="A344" s="4" t="str">
        <f t="shared" si="43"/>
        <v>Dec</v>
      </c>
      <c r="B344" s="4">
        <v>343</v>
      </c>
      <c r="C344" s="3">
        <v>21893</v>
      </c>
      <c r="D344" s="4">
        <v>43</v>
      </c>
      <c r="E344" s="13">
        <f t="shared" si="44"/>
        <v>45.034350468754241</v>
      </c>
      <c r="F344" s="13">
        <f t="shared" si="45"/>
        <v>45.470176244269574</v>
      </c>
      <c r="G344" s="13">
        <f t="shared" si="47"/>
        <v>-2.4701762442695738</v>
      </c>
      <c r="H344" s="13">
        <f t="shared" si="48"/>
        <v>2.4701762442695738</v>
      </c>
      <c r="I344" s="13">
        <f t="shared" si="49"/>
        <v>6.1017706777537377</v>
      </c>
      <c r="J344" s="5">
        <f t="shared" si="50"/>
        <v>5.7445959169059854E-2</v>
      </c>
      <c r="K344" s="8">
        <f t="shared" si="46"/>
        <v>1.0096776298753929</v>
      </c>
    </row>
    <row r="345" spans="1:11" ht="15.75" customHeight="1">
      <c r="A345" s="4" t="str">
        <f t="shared" si="43"/>
        <v>Dec</v>
      </c>
      <c r="B345" s="4">
        <v>344</v>
      </c>
      <c r="C345" s="3">
        <v>21894</v>
      </c>
      <c r="D345" s="4">
        <v>43</v>
      </c>
      <c r="E345" s="13">
        <f t="shared" si="44"/>
        <v>45.053435022197654</v>
      </c>
      <c r="F345" s="13">
        <f t="shared" si="45"/>
        <v>45.489445490957543</v>
      </c>
      <c r="G345" s="13">
        <f t="shared" si="47"/>
        <v>-2.489445490957543</v>
      </c>
      <c r="H345" s="13">
        <f t="shared" si="48"/>
        <v>2.489445490957543</v>
      </c>
      <c r="I345" s="13">
        <f t="shared" si="49"/>
        <v>6.1973388524488424</v>
      </c>
      <c r="J345" s="5">
        <f t="shared" si="50"/>
        <v>5.7894081185059142E-2</v>
      </c>
      <c r="K345" s="8">
        <f t="shared" si="46"/>
        <v>1.0096776298753929</v>
      </c>
    </row>
    <row r="346" spans="1:11" ht="15.75" customHeight="1">
      <c r="A346" s="4" t="str">
        <f t="shared" si="43"/>
        <v>Dec</v>
      </c>
      <c r="B346" s="4">
        <v>345</v>
      </c>
      <c r="C346" s="3">
        <v>21895</v>
      </c>
      <c r="D346" s="4">
        <v>34</v>
      </c>
      <c r="E346" s="13">
        <f t="shared" si="44"/>
        <v>45.072519575641067</v>
      </c>
      <c r="F346" s="13">
        <f t="shared" si="45"/>
        <v>45.508714737645519</v>
      </c>
      <c r="G346" s="13">
        <f t="shared" si="47"/>
        <v>-11.508714737645519</v>
      </c>
      <c r="H346" s="13">
        <f t="shared" si="48"/>
        <v>11.508714737645519</v>
      </c>
      <c r="I346" s="13">
        <f t="shared" si="49"/>
        <v>132.45051491249916</v>
      </c>
      <c r="J346" s="5">
        <f t="shared" si="50"/>
        <v>0.33849160993075056</v>
      </c>
      <c r="K346" s="8">
        <f t="shared" si="46"/>
        <v>1.0096776298753929</v>
      </c>
    </row>
    <row r="347" spans="1:11" ht="15.75" customHeight="1">
      <c r="A347" s="4" t="str">
        <f t="shared" si="43"/>
        <v>Dec</v>
      </c>
      <c r="B347" s="4">
        <v>346</v>
      </c>
      <c r="C347" s="3">
        <v>21896</v>
      </c>
      <c r="D347" s="4">
        <v>39</v>
      </c>
      <c r="E347" s="13">
        <f t="shared" si="44"/>
        <v>45.09160412908448</v>
      </c>
      <c r="F347" s="13">
        <f t="shared" si="45"/>
        <v>45.527983984333495</v>
      </c>
      <c r="G347" s="13">
        <f t="shared" si="47"/>
        <v>-6.5279839843334955</v>
      </c>
      <c r="H347" s="13">
        <f t="shared" si="48"/>
        <v>6.5279839843334955</v>
      </c>
      <c r="I347" s="13">
        <f t="shared" si="49"/>
        <v>42.614574899714619</v>
      </c>
      <c r="J347" s="5">
        <f t="shared" si="50"/>
        <v>0.1673842047264999</v>
      </c>
      <c r="K347" s="8">
        <f t="shared" si="46"/>
        <v>1.0096776298753929</v>
      </c>
    </row>
    <row r="348" spans="1:11" ht="15.75" customHeight="1">
      <c r="A348" s="4" t="str">
        <f t="shared" si="43"/>
        <v>Dec</v>
      </c>
      <c r="B348" s="4">
        <v>347</v>
      </c>
      <c r="C348" s="3">
        <v>21897</v>
      </c>
      <c r="D348" s="4">
        <v>35</v>
      </c>
      <c r="E348" s="13">
        <f t="shared" si="44"/>
        <v>45.110688682527893</v>
      </c>
      <c r="F348" s="13">
        <f t="shared" si="45"/>
        <v>45.547253231021472</v>
      </c>
      <c r="G348" s="13">
        <f t="shared" si="47"/>
        <v>-10.547253231021472</v>
      </c>
      <c r="H348" s="13">
        <f t="shared" si="48"/>
        <v>10.547253231021472</v>
      </c>
      <c r="I348" s="13">
        <f t="shared" si="49"/>
        <v>111.24455071929287</v>
      </c>
      <c r="J348" s="5">
        <f t="shared" si="50"/>
        <v>0.30135009231489918</v>
      </c>
      <c r="K348" s="8">
        <f t="shared" si="46"/>
        <v>1.0096776298753929</v>
      </c>
    </row>
    <row r="349" spans="1:11" ht="15.75" customHeight="1">
      <c r="A349" s="4" t="str">
        <f t="shared" si="43"/>
        <v>Dec</v>
      </c>
      <c r="B349" s="4">
        <v>348</v>
      </c>
      <c r="C349" s="3">
        <v>21898</v>
      </c>
      <c r="D349" s="4">
        <v>52</v>
      </c>
      <c r="E349" s="13">
        <f t="shared" si="44"/>
        <v>45.129773235971307</v>
      </c>
      <c r="F349" s="13">
        <f t="shared" si="45"/>
        <v>45.566522477709448</v>
      </c>
      <c r="G349" s="13">
        <f t="shared" si="47"/>
        <v>6.433477522290552</v>
      </c>
      <c r="H349" s="13">
        <f t="shared" si="48"/>
        <v>6.433477522290552</v>
      </c>
      <c r="I349" s="13">
        <f t="shared" si="49"/>
        <v>41.38963302981778</v>
      </c>
      <c r="J349" s="5">
        <f t="shared" si="50"/>
        <v>0.12372072158251061</v>
      </c>
      <c r="K349" s="8">
        <f t="shared" si="46"/>
        <v>1.0096776298753929</v>
      </c>
    </row>
    <row r="350" spans="1:11" ht="15.75" customHeight="1">
      <c r="A350" s="4" t="str">
        <f t="shared" si="43"/>
        <v>Dec</v>
      </c>
      <c r="B350" s="4">
        <v>349</v>
      </c>
      <c r="C350" s="3">
        <v>21899</v>
      </c>
      <c r="D350" s="4">
        <v>47</v>
      </c>
      <c r="E350" s="13">
        <f t="shared" si="44"/>
        <v>45.14885778941472</v>
      </c>
      <c r="F350" s="13">
        <f t="shared" si="45"/>
        <v>45.585791724397424</v>
      </c>
      <c r="G350" s="13">
        <f t="shared" si="47"/>
        <v>1.4142082756025758</v>
      </c>
      <c r="H350" s="13">
        <f t="shared" si="48"/>
        <v>1.4142082756025758</v>
      </c>
      <c r="I350" s="13">
        <f t="shared" si="49"/>
        <v>1.9999850467828109</v>
      </c>
      <c r="J350" s="5">
        <f t="shared" si="50"/>
        <v>3.0089537778778208E-2</v>
      </c>
      <c r="K350" s="8">
        <f t="shared" si="46"/>
        <v>1.0096776298753929</v>
      </c>
    </row>
    <row r="351" spans="1:11" ht="15.75" customHeight="1">
      <c r="A351" s="4" t="str">
        <f t="shared" si="43"/>
        <v>Dec</v>
      </c>
      <c r="B351" s="4">
        <v>350</v>
      </c>
      <c r="C351" s="3">
        <v>21900</v>
      </c>
      <c r="D351" s="4">
        <v>52</v>
      </c>
      <c r="E351" s="13">
        <f t="shared" si="44"/>
        <v>45.167942342858133</v>
      </c>
      <c r="F351" s="13">
        <f t="shared" si="45"/>
        <v>45.6050609710854</v>
      </c>
      <c r="G351" s="13">
        <f t="shared" si="47"/>
        <v>6.3949390289145995</v>
      </c>
      <c r="H351" s="13">
        <f t="shared" si="48"/>
        <v>6.3949390289145995</v>
      </c>
      <c r="I351" s="13">
        <f t="shared" si="49"/>
        <v>40.895245183535202</v>
      </c>
      <c r="J351" s="5">
        <f t="shared" si="50"/>
        <v>0.12297959670989614</v>
      </c>
      <c r="K351" s="8">
        <f t="shared" si="46"/>
        <v>1.0096776298753929</v>
      </c>
    </row>
    <row r="352" spans="1:11" ht="15.75" customHeight="1">
      <c r="A352" s="4" t="str">
        <f t="shared" si="43"/>
        <v>Dec</v>
      </c>
      <c r="B352" s="4">
        <v>351</v>
      </c>
      <c r="C352" s="3">
        <v>21901</v>
      </c>
      <c r="D352" s="4">
        <v>39</v>
      </c>
      <c r="E352" s="13">
        <f t="shared" si="44"/>
        <v>45.187026896301546</v>
      </c>
      <c r="F352" s="13">
        <f t="shared" si="45"/>
        <v>45.624330217773377</v>
      </c>
      <c r="G352" s="13">
        <f t="shared" si="47"/>
        <v>-6.6243302177733767</v>
      </c>
      <c r="H352" s="13">
        <f t="shared" si="48"/>
        <v>6.6243302177733767</v>
      </c>
      <c r="I352" s="13">
        <f t="shared" si="49"/>
        <v>43.881750834105475</v>
      </c>
      <c r="J352" s="5">
        <f t="shared" si="50"/>
        <v>0.16985462096854811</v>
      </c>
      <c r="K352" s="8">
        <f t="shared" si="46"/>
        <v>1.0096776298753929</v>
      </c>
    </row>
    <row r="353" spans="1:11" ht="15.75" customHeight="1">
      <c r="A353" s="4" t="str">
        <f t="shared" si="43"/>
        <v>Dec</v>
      </c>
      <c r="B353" s="4">
        <v>352</v>
      </c>
      <c r="C353" s="3">
        <v>21902</v>
      </c>
      <c r="D353" s="4">
        <v>40</v>
      </c>
      <c r="E353" s="13">
        <f t="shared" si="44"/>
        <v>45.206111449744959</v>
      </c>
      <c r="F353" s="13">
        <f t="shared" si="45"/>
        <v>45.643599464461353</v>
      </c>
      <c r="G353" s="13">
        <f t="shared" si="47"/>
        <v>-5.643599464461353</v>
      </c>
      <c r="H353" s="13">
        <f t="shared" si="48"/>
        <v>5.643599464461353</v>
      </c>
      <c r="I353" s="13">
        <f t="shared" si="49"/>
        <v>31.85021491526847</v>
      </c>
      <c r="J353" s="5">
        <f t="shared" si="50"/>
        <v>0.14108998661153382</v>
      </c>
      <c r="K353" s="8">
        <f t="shared" si="46"/>
        <v>1.0096776298753929</v>
      </c>
    </row>
    <row r="354" spans="1:11" ht="15.75" customHeight="1">
      <c r="A354" s="4" t="str">
        <f t="shared" si="43"/>
        <v>Dec</v>
      </c>
      <c r="B354" s="4">
        <v>353</v>
      </c>
      <c r="C354" s="3">
        <v>21903</v>
      </c>
      <c r="D354" s="4">
        <v>42</v>
      </c>
      <c r="E354" s="13">
        <f t="shared" si="44"/>
        <v>45.225196003188373</v>
      </c>
      <c r="F354" s="13">
        <f t="shared" si="45"/>
        <v>45.662868711149329</v>
      </c>
      <c r="G354" s="13">
        <f t="shared" si="47"/>
        <v>-3.6628687111493292</v>
      </c>
      <c r="H354" s="13">
        <f t="shared" si="48"/>
        <v>3.6628687111493292</v>
      </c>
      <c r="I354" s="13">
        <f t="shared" si="49"/>
        <v>13.416607195116748</v>
      </c>
      <c r="J354" s="5">
        <f t="shared" si="50"/>
        <v>8.7211159789269743E-2</v>
      </c>
      <c r="K354" s="8">
        <f t="shared" si="46"/>
        <v>1.0096776298753929</v>
      </c>
    </row>
    <row r="355" spans="1:11" ht="15.75" customHeight="1">
      <c r="A355" s="4" t="str">
        <f t="shared" si="43"/>
        <v>Dec</v>
      </c>
      <c r="B355" s="4">
        <v>354</v>
      </c>
      <c r="C355" s="3">
        <v>21904</v>
      </c>
      <c r="D355" s="4">
        <v>42</v>
      </c>
      <c r="E355" s="13">
        <f t="shared" si="44"/>
        <v>45.244280556631779</v>
      </c>
      <c r="F355" s="13">
        <f t="shared" si="45"/>
        <v>45.682137957837298</v>
      </c>
      <c r="G355" s="13">
        <f t="shared" si="47"/>
        <v>-3.6821379578372984</v>
      </c>
      <c r="H355" s="13">
        <f t="shared" si="48"/>
        <v>3.6821379578372984</v>
      </c>
      <c r="I355" s="13">
        <f t="shared" si="49"/>
        <v>13.55813994054623</v>
      </c>
      <c r="J355" s="5">
        <f t="shared" si="50"/>
        <v>8.7669951377078531E-2</v>
      </c>
      <c r="K355" s="8">
        <f t="shared" si="46"/>
        <v>1.0096776298753929</v>
      </c>
    </row>
    <row r="356" spans="1:11" ht="15.75" customHeight="1">
      <c r="A356" s="4" t="str">
        <f t="shared" si="43"/>
        <v>Dec</v>
      </c>
      <c r="B356" s="4">
        <v>355</v>
      </c>
      <c r="C356" s="3">
        <v>21905</v>
      </c>
      <c r="D356" s="4">
        <v>53</v>
      </c>
      <c r="E356" s="13">
        <f t="shared" si="44"/>
        <v>45.263365110075192</v>
      </c>
      <c r="F356" s="13">
        <f t="shared" si="45"/>
        <v>45.701407204525275</v>
      </c>
      <c r="G356" s="13">
        <f t="shared" si="47"/>
        <v>7.2985927954747254</v>
      </c>
      <c r="H356" s="13">
        <f t="shared" si="48"/>
        <v>7.2985927954747254</v>
      </c>
      <c r="I356" s="13">
        <f t="shared" si="49"/>
        <v>53.269456794155566</v>
      </c>
      <c r="J356" s="5">
        <f t="shared" si="50"/>
        <v>0.137709298027825</v>
      </c>
      <c r="K356" s="8">
        <f t="shared" si="46"/>
        <v>1.0096776298753929</v>
      </c>
    </row>
    <row r="357" spans="1:11" ht="15.75" customHeight="1">
      <c r="A357" s="4" t="str">
        <f t="shared" si="43"/>
        <v>Dec</v>
      </c>
      <c r="B357" s="4">
        <v>356</v>
      </c>
      <c r="C357" s="3">
        <v>21906</v>
      </c>
      <c r="D357" s="4">
        <v>39</v>
      </c>
      <c r="E357" s="13">
        <f t="shared" si="44"/>
        <v>45.282449663518605</v>
      </c>
      <c r="F357" s="13">
        <f t="shared" si="45"/>
        <v>45.720676451213251</v>
      </c>
      <c r="G357" s="13">
        <f t="shared" si="47"/>
        <v>-6.7206764512132509</v>
      </c>
      <c r="H357" s="13">
        <f t="shared" si="48"/>
        <v>6.7206764512132509</v>
      </c>
      <c r="I357" s="13">
        <f t="shared" si="49"/>
        <v>45.167491961892338</v>
      </c>
      <c r="J357" s="5">
        <f t="shared" si="50"/>
        <v>0.17232503721059617</v>
      </c>
      <c r="K357" s="8">
        <f t="shared" si="46"/>
        <v>1.0096776298753929</v>
      </c>
    </row>
    <row r="358" spans="1:11" ht="15.75" customHeight="1">
      <c r="A358" s="4" t="str">
        <f t="shared" si="43"/>
        <v>Dec</v>
      </c>
      <c r="B358" s="4">
        <v>357</v>
      </c>
      <c r="C358" s="3">
        <v>21907</v>
      </c>
      <c r="D358" s="4">
        <v>40</v>
      </c>
      <c r="E358" s="13">
        <f t="shared" si="44"/>
        <v>45.301534216962018</v>
      </c>
      <c r="F358" s="13">
        <f t="shared" si="45"/>
        <v>45.73994569790122</v>
      </c>
      <c r="G358" s="13">
        <f t="shared" si="47"/>
        <v>-5.73994569790122</v>
      </c>
      <c r="H358" s="13">
        <f t="shared" si="48"/>
        <v>5.73994569790122</v>
      </c>
      <c r="I358" s="13">
        <f t="shared" si="49"/>
        <v>32.946976614854727</v>
      </c>
      <c r="J358" s="5">
        <f t="shared" si="50"/>
        <v>0.14349864244753049</v>
      </c>
      <c r="K358" s="8">
        <f t="shared" si="46"/>
        <v>1.0096776298753929</v>
      </c>
    </row>
    <row r="359" spans="1:11" ht="15.75" customHeight="1">
      <c r="A359" s="4" t="str">
        <f t="shared" si="43"/>
        <v>Dec</v>
      </c>
      <c r="B359" s="4">
        <v>358</v>
      </c>
      <c r="C359" s="3">
        <v>21908</v>
      </c>
      <c r="D359" s="4">
        <v>38</v>
      </c>
      <c r="E359" s="13">
        <f t="shared" si="44"/>
        <v>45.320618770405432</v>
      </c>
      <c r="F359" s="13">
        <f t="shared" si="45"/>
        <v>45.759214944589196</v>
      </c>
      <c r="G359" s="13">
        <f t="shared" si="47"/>
        <v>-7.7592149445891963</v>
      </c>
      <c r="H359" s="13">
        <f t="shared" si="48"/>
        <v>7.7592149445891963</v>
      </c>
      <c r="I359" s="13">
        <f t="shared" si="49"/>
        <v>60.205416556336324</v>
      </c>
      <c r="J359" s="5">
        <f t="shared" si="50"/>
        <v>0.20418986696287358</v>
      </c>
      <c r="K359" s="8">
        <f t="shared" si="46"/>
        <v>1.0096776298753929</v>
      </c>
    </row>
    <row r="360" spans="1:11" ht="15.75" customHeight="1">
      <c r="A360" s="4" t="str">
        <f t="shared" si="43"/>
        <v>Dec</v>
      </c>
      <c r="B360" s="4">
        <v>359</v>
      </c>
      <c r="C360" s="3">
        <v>21909</v>
      </c>
      <c r="D360" s="4">
        <v>44</v>
      </c>
      <c r="E360" s="13">
        <f t="shared" si="44"/>
        <v>45.339703323848845</v>
      </c>
      <c r="F360" s="13">
        <f t="shared" si="45"/>
        <v>45.778484191277172</v>
      </c>
      <c r="G360" s="13">
        <f t="shared" si="47"/>
        <v>-1.7784841912771725</v>
      </c>
      <c r="H360" s="13">
        <f t="shared" si="48"/>
        <v>1.7784841912771725</v>
      </c>
      <c r="I360" s="13">
        <f t="shared" si="49"/>
        <v>3.1630060186228182</v>
      </c>
      <c r="J360" s="5">
        <f t="shared" si="50"/>
        <v>4.0420095256299374E-2</v>
      </c>
      <c r="K360" s="8">
        <f t="shared" si="46"/>
        <v>1.0096776298753929</v>
      </c>
    </row>
    <row r="361" spans="1:11" ht="15.75" customHeight="1">
      <c r="A361" s="4" t="str">
        <f t="shared" si="43"/>
        <v>Dec</v>
      </c>
      <c r="B361" s="4">
        <v>360</v>
      </c>
      <c r="C361" s="3">
        <v>21910</v>
      </c>
      <c r="D361" s="4">
        <v>34</v>
      </c>
      <c r="E361" s="13">
        <f t="shared" si="44"/>
        <v>45.358787877292258</v>
      </c>
      <c r="F361" s="13">
        <f t="shared" si="45"/>
        <v>45.797753437965149</v>
      </c>
      <c r="G361" s="13">
        <f t="shared" si="47"/>
        <v>-11.797753437965149</v>
      </c>
      <c r="H361" s="13">
        <f t="shared" si="48"/>
        <v>11.797753437965149</v>
      </c>
      <c r="I361" s="13">
        <f t="shared" si="49"/>
        <v>139.18698618301849</v>
      </c>
      <c r="J361" s="5">
        <f t="shared" si="50"/>
        <v>0.34699274817544556</v>
      </c>
      <c r="K361" s="8">
        <f t="shared" si="46"/>
        <v>1.0096776298753929</v>
      </c>
    </row>
    <row r="362" spans="1:11" ht="15.75" customHeight="1">
      <c r="A362" s="4" t="str">
        <f t="shared" si="43"/>
        <v>Dec</v>
      </c>
      <c r="B362" s="4">
        <v>361</v>
      </c>
      <c r="C362" s="3">
        <v>21911</v>
      </c>
      <c r="D362" s="4">
        <v>37</v>
      </c>
      <c r="E362" s="13">
        <f t="shared" si="44"/>
        <v>45.377872430735671</v>
      </c>
      <c r="F362" s="13">
        <f t="shared" si="45"/>
        <v>45.817022684653125</v>
      </c>
      <c r="G362" s="13">
        <f t="shared" si="47"/>
        <v>-8.817022684653125</v>
      </c>
      <c r="H362" s="13">
        <f t="shared" si="48"/>
        <v>8.817022684653125</v>
      </c>
      <c r="I362" s="13">
        <f t="shared" si="49"/>
        <v>77.739889021687802</v>
      </c>
      <c r="J362" s="5">
        <f t="shared" si="50"/>
        <v>0.2382979103960304</v>
      </c>
      <c r="K362" s="8">
        <f t="shared" si="46"/>
        <v>1.0096776298753929</v>
      </c>
    </row>
    <row r="363" spans="1:11" ht="15.75" customHeight="1">
      <c r="A363" s="4" t="str">
        <f t="shared" si="43"/>
        <v>Dec</v>
      </c>
      <c r="B363" s="4">
        <v>362</v>
      </c>
      <c r="C363" s="3">
        <v>21912</v>
      </c>
      <c r="D363" s="4">
        <v>52</v>
      </c>
      <c r="E363" s="13">
        <f t="shared" si="44"/>
        <v>45.396956984179084</v>
      </c>
      <c r="F363" s="13">
        <f t="shared" si="45"/>
        <v>45.836291931341101</v>
      </c>
      <c r="G363" s="13">
        <f t="shared" si="47"/>
        <v>6.1637080686588988</v>
      </c>
      <c r="H363" s="13">
        <f t="shared" si="48"/>
        <v>6.1637080686588988</v>
      </c>
      <c r="I363" s="13">
        <f t="shared" si="49"/>
        <v>37.991297155650813</v>
      </c>
      <c r="J363" s="5">
        <f t="shared" si="50"/>
        <v>0.11853284747420959</v>
      </c>
      <c r="K363" s="8">
        <f t="shared" si="46"/>
        <v>1.0096776298753929</v>
      </c>
    </row>
    <row r="364" spans="1:11" ht="15.75" customHeight="1">
      <c r="A364" s="4" t="str">
        <f t="shared" si="43"/>
        <v>Dec</v>
      </c>
      <c r="B364" s="4">
        <v>363</v>
      </c>
      <c r="C364" s="3">
        <v>21913</v>
      </c>
      <c r="D364" s="4">
        <v>48</v>
      </c>
      <c r="E364" s="13">
        <f t="shared" si="44"/>
        <v>45.416041537622498</v>
      </c>
      <c r="F364" s="13">
        <f t="shared" si="45"/>
        <v>45.855561178029077</v>
      </c>
      <c r="G364" s="13">
        <f t="shared" si="47"/>
        <v>2.1444388219709225</v>
      </c>
      <c r="H364" s="13">
        <f t="shared" si="48"/>
        <v>2.1444388219709225</v>
      </c>
      <c r="I364" s="13">
        <f t="shared" si="49"/>
        <v>4.598617861176038</v>
      </c>
      <c r="J364" s="5">
        <f t="shared" si="50"/>
        <v>4.4675808791060888E-2</v>
      </c>
      <c r="K364" s="8">
        <f t="shared" si="46"/>
        <v>1.0096776298753929</v>
      </c>
    </row>
    <row r="365" spans="1:11" ht="15.75" customHeight="1">
      <c r="A365" s="4" t="str">
        <f t="shared" si="43"/>
        <v>Dec</v>
      </c>
      <c r="B365" s="4">
        <v>364</v>
      </c>
      <c r="C365" s="3">
        <v>21914</v>
      </c>
      <c r="D365" s="4">
        <v>55</v>
      </c>
      <c r="E365" s="13">
        <f t="shared" si="44"/>
        <v>45.435126091065911</v>
      </c>
      <c r="F365" s="13">
        <f t="shared" si="45"/>
        <v>45.874830424717054</v>
      </c>
      <c r="G365" s="13">
        <f t="shared" si="47"/>
        <v>9.1251695752829463</v>
      </c>
      <c r="H365" s="13">
        <f t="shared" si="48"/>
        <v>9.1251695752829463</v>
      </c>
      <c r="I365" s="13">
        <f t="shared" si="49"/>
        <v>83.268719777669546</v>
      </c>
      <c r="J365" s="5">
        <f t="shared" si="50"/>
        <v>0.16591217409605358</v>
      </c>
      <c r="K365" s="8">
        <f t="shared" si="46"/>
        <v>1.0096776298753929</v>
      </c>
    </row>
    <row r="366" spans="1:11" ht="15.75" customHeight="1">
      <c r="A366" s="4" t="str">
        <f t="shared" si="43"/>
        <v>Dec</v>
      </c>
      <c r="B366" s="4">
        <v>365</v>
      </c>
      <c r="C366" s="3">
        <v>21915</v>
      </c>
      <c r="D366" s="4">
        <v>50</v>
      </c>
      <c r="E366" s="13">
        <f t="shared" si="44"/>
        <v>45.454210644509324</v>
      </c>
      <c r="F366" s="13">
        <f t="shared" si="45"/>
        <v>45.89409967140503</v>
      </c>
      <c r="G366" s="13">
        <f t="shared" si="47"/>
        <v>4.10590032859497</v>
      </c>
      <c r="H366" s="13">
        <f t="shared" si="48"/>
        <v>4.10590032859497</v>
      </c>
      <c r="I366" s="13">
        <f t="shared" si="49"/>
        <v>16.858417508356283</v>
      </c>
      <c r="J366" s="5">
        <f t="shared" si="50"/>
        <v>8.2118006571899396E-2</v>
      </c>
      <c r="K366" s="8">
        <f t="shared" si="46"/>
        <v>1.0096776298753929</v>
      </c>
    </row>
    <row r="367" spans="1:11" ht="15.75" customHeight="1"/>
    <row r="368" spans="1:11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6595-B40A-4CB4-8EBA-4CA81119526D}">
  <dimension ref="A1:K366"/>
  <sheetViews>
    <sheetView workbookViewId="0">
      <selection activeCell="J14" sqref="J14"/>
    </sheetView>
  </sheetViews>
  <sheetFormatPr defaultRowHeight="15.75"/>
  <cols>
    <col min="1" max="1" width="5.75" bestFit="1" customWidth="1"/>
    <col min="2" max="2" width="6.5" customWidth="1"/>
    <col min="3" max="3" width="14.75" bestFit="1" customWidth="1"/>
    <col min="4" max="4" width="10.625" bestFit="1" customWidth="1"/>
    <col min="5" max="5" width="13.5" bestFit="1" customWidth="1"/>
    <col min="6" max="6" width="21.375" bestFit="1" customWidth="1"/>
    <col min="7" max="7" width="23.875" bestFit="1" customWidth="1"/>
    <col min="11" max="11" width="20" bestFit="1" customWidth="1"/>
  </cols>
  <sheetData>
    <row r="1" spans="1:11">
      <c r="A1" s="1" t="s">
        <v>39</v>
      </c>
      <c r="B1" s="2" t="s">
        <v>40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>
      <c r="A2" s="3" t="s">
        <v>26</v>
      </c>
      <c r="B2" s="4">
        <v>1213</v>
      </c>
    </row>
    <row r="3" spans="1:11">
      <c r="A3" s="3" t="s">
        <v>27</v>
      </c>
      <c r="B3" s="4">
        <v>1148</v>
      </c>
      <c r="C3">
        <f>B2</f>
        <v>1213</v>
      </c>
      <c r="D3">
        <f>B3-C3</f>
        <v>-65</v>
      </c>
      <c r="E3">
        <f>ABS(D3)</f>
        <v>65</v>
      </c>
      <c r="F3">
        <f>E3^2</f>
        <v>4225</v>
      </c>
      <c r="G3" s="30">
        <f>E3/B3</f>
        <v>5.6620209059233449E-2</v>
      </c>
    </row>
    <row r="4" spans="1:11">
      <c r="A4" s="3" t="s">
        <v>28</v>
      </c>
      <c r="B4" s="4">
        <v>1218</v>
      </c>
      <c r="C4">
        <f t="shared" ref="C4:C13" si="0">B3</f>
        <v>1148</v>
      </c>
      <c r="D4">
        <f t="shared" ref="D4:D13" si="1">B4-C4</f>
        <v>70</v>
      </c>
      <c r="E4">
        <f t="shared" ref="E4:E13" si="2">ABS(D4)</f>
        <v>70</v>
      </c>
      <c r="F4">
        <f t="shared" ref="F4:F13" si="3">E4^2</f>
        <v>4900</v>
      </c>
      <c r="G4" s="30">
        <f t="shared" ref="G4:G13" si="4">E4/B4</f>
        <v>5.7471264367816091E-2</v>
      </c>
      <c r="J4" s="6" t="s">
        <v>7</v>
      </c>
      <c r="K4" s="7">
        <f>AVERAGE(E3:E13)</f>
        <v>49.18181818181818</v>
      </c>
    </row>
    <row r="5" spans="1:11">
      <c r="A5" s="3" t="s">
        <v>29</v>
      </c>
      <c r="B5" s="4">
        <v>1195</v>
      </c>
      <c r="C5">
        <f t="shared" si="0"/>
        <v>1218</v>
      </c>
      <c r="D5">
        <f t="shared" si="1"/>
        <v>-23</v>
      </c>
      <c r="E5">
        <f t="shared" si="2"/>
        <v>23</v>
      </c>
      <c r="F5">
        <f t="shared" si="3"/>
        <v>529</v>
      </c>
      <c r="G5" s="30">
        <f t="shared" si="4"/>
        <v>1.9246861924686193E-2</v>
      </c>
      <c r="J5" s="2" t="s">
        <v>8</v>
      </c>
      <c r="K5" s="8">
        <f>AVERAGE(F3:F13)</f>
        <v>3355.7272727272725</v>
      </c>
    </row>
    <row r="6" spans="1:11">
      <c r="A6" s="3" t="s">
        <v>30</v>
      </c>
      <c r="B6" s="4">
        <v>1208</v>
      </c>
      <c r="C6">
        <f t="shared" si="0"/>
        <v>1195</v>
      </c>
      <c r="D6">
        <f t="shared" si="1"/>
        <v>13</v>
      </c>
      <c r="E6">
        <f t="shared" si="2"/>
        <v>13</v>
      </c>
      <c r="F6">
        <f t="shared" si="3"/>
        <v>169</v>
      </c>
      <c r="G6" s="30">
        <f t="shared" si="4"/>
        <v>1.0761589403973509E-2</v>
      </c>
      <c r="J6" s="2" t="s">
        <v>9</v>
      </c>
      <c r="K6" s="21">
        <f>AVERAGE(G3:G13)</f>
        <v>3.7844453951037443E-2</v>
      </c>
    </row>
    <row r="7" spans="1:11" ht="16.5" thickBot="1">
      <c r="A7" s="3" t="s">
        <v>31</v>
      </c>
      <c r="B7" s="4">
        <v>1212</v>
      </c>
      <c r="C7">
        <f t="shared" si="0"/>
        <v>1208</v>
      </c>
      <c r="D7">
        <f t="shared" si="1"/>
        <v>4</v>
      </c>
      <c r="E7">
        <f t="shared" si="2"/>
        <v>4</v>
      </c>
      <c r="F7">
        <f t="shared" si="3"/>
        <v>16</v>
      </c>
      <c r="G7" s="30">
        <f t="shared" si="4"/>
        <v>3.3003300330033004E-3</v>
      </c>
      <c r="J7" s="9" t="s">
        <v>10</v>
      </c>
      <c r="K7" s="26">
        <f>100% -K6</f>
        <v>0.96215554604896258</v>
      </c>
    </row>
    <row r="8" spans="1:11" ht="16.5" thickTop="1">
      <c r="A8" s="3" t="s">
        <v>32</v>
      </c>
      <c r="B8" s="4">
        <v>1300</v>
      </c>
      <c r="C8">
        <f t="shared" si="0"/>
        <v>1212</v>
      </c>
      <c r="D8">
        <f t="shared" si="1"/>
        <v>88</v>
      </c>
      <c r="E8">
        <f t="shared" si="2"/>
        <v>88</v>
      </c>
      <c r="F8">
        <f t="shared" si="3"/>
        <v>7744</v>
      </c>
      <c r="G8" s="30">
        <f t="shared" si="4"/>
        <v>6.7692307692307691E-2</v>
      </c>
    </row>
    <row r="9" spans="1:11">
      <c r="A9" s="3" t="s">
        <v>33</v>
      </c>
      <c r="B9" s="4">
        <v>1351</v>
      </c>
      <c r="C9">
        <f t="shared" si="0"/>
        <v>1300</v>
      </c>
      <c r="D9">
        <f t="shared" si="1"/>
        <v>51</v>
      </c>
      <c r="E9">
        <f t="shared" si="2"/>
        <v>51</v>
      </c>
      <c r="F9">
        <f t="shared" si="3"/>
        <v>2601</v>
      </c>
      <c r="G9" s="30">
        <f t="shared" si="4"/>
        <v>3.7749814951887492E-2</v>
      </c>
    </row>
    <row r="10" spans="1:11">
      <c r="A10" s="3" t="s">
        <v>34</v>
      </c>
      <c r="B10" s="4">
        <v>1446</v>
      </c>
      <c r="C10">
        <f t="shared" si="0"/>
        <v>1351</v>
      </c>
      <c r="D10">
        <f t="shared" si="1"/>
        <v>95</v>
      </c>
      <c r="E10">
        <f t="shared" si="2"/>
        <v>95</v>
      </c>
      <c r="F10">
        <f t="shared" si="3"/>
        <v>9025</v>
      </c>
      <c r="G10" s="30">
        <f t="shared" si="4"/>
        <v>6.5698478561549103E-2</v>
      </c>
    </row>
    <row r="11" spans="1:11">
      <c r="A11" s="3" t="s">
        <v>35</v>
      </c>
      <c r="B11" s="4">
        <v>1368</v>
      </c>
      <c r="C11">
        <f t="shared" si="0"/>
        <v>1446</v>
      </c>
      <c r="D11">
        <f t="shared" si="1"/>
        <v>-78</v>
      </c>
      <c r="E11">
        <f t="shared" si="2"/>
        <v>78</v>
      </c>
      <c r="F11">
        <f t="shared" si="3"/>
        <v>6084</v>
      </c>
      <c r="G11" s="30">
        <f t="shared" si="4"/>
        <v>5.701754385964912E-2</v>
      </c>
    </row>
    <row r="12" spans="1:11">
      <c r="A12" s="3" t="s">
        <v>36</v>
      </c>
      <c r="B12" s="4">
        <v>1350</v>
      </c>
      <c r="C12">
        <f t="shared" si="0"/>
        <v>1368</v>
      </c>
      <c r="D12">
        <f t="shared" si="1"/>
        <v>-18</v>
      </c>
      <c r="E12">
        <f t="shared" si="2"/>
        <v>18</v>
      </c>
      <c r="F12">
        <f t="shared" si="3"/>
        <v>324</v>
      </c>
      <c r="G12" s="30">
        <f t="shared" si="4"/>
        <v>1.3333333333333334E-2</v>
      </c>
    </row>
    <row r="13" spans="1:11">
      <c r="A13" s="3" t="s">
        <v>37</v>
      </c>
      <c r="B13" s="4">
        <v>1314</v>
      </c>
      <c r="C13">
        <f t="shared" si="0"/>
        <v>1350</v>
      </c>
      <c r="D13">
        <f t="shared" si="1"/>
        <v>-36</v>
      </c>
      <c r="E13">
        <f t="shared" si="2"/>
        <v>36</v>
      </c>
      <c r="F13">
        <f t="shared" si="3"/>
        <v>1296</v>
      </c>
      <c r="G13" s="30">
        <f t="shared" si="4"/>
        <v>2.7397260273972601E-2</v>
      </c>
    </row>
    <row r="14" spans="1:11">
      <c r="A14" s="3"/>
      <c r="B14" s="4"/>
    </row>
    <row r="15" spans="1:11">
      <c r="A15" s="3"/>
      <c r="B15" s="4"/>
    </row>
    <row r="16" spans="1:11">
      <c r="A16" s="3"/>
      <c r="B16" s="4"/>
    </row>
    <row r="17" spans="1:2">
      <c r="A17" s="3"/>
      <c r="B17" s="4"/>
    </row>
    <row r="18" spans="1:2">
      <c r="A18" s="3"/>
      <c r="B18" s="4"/>
    </row>
    <row r="19" spans="1:2">
      <c r="A19" s="3"/>
      <c r="B19" s="4"/>
    </row>
    <row r="20" spans="1:2">
      <c r="A20" s="3"/>
      <c r="B20" s="4"/>
    </row>
    <row r="21" spans="1:2">
      <c r="A21" s="3"/>
      <c r="B21" s="4"/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3"/>
      <c r="B31" s="4"/>
    </row>
    <row r="32" spans="1:2">
      <c r="A32" s="3"/>
      <c r="B32" s="4"/>
    </row>
    <row r="33" spans="1:2">
      <c r="A33" s="3"/>
      <c r="B33" s="4"/>
    </row>
    <row r="34" spans="1:2">
      <c r="A34" s="3"/>
      <c r="B34" s="4"/>
    </row>
    <row r="35" spans="1:2">
      <c r="A35" s="3"/>
      <c r="B35" s="4"/>
    </row>
    <row r="36" spans="1:2">
      <c r="A36" s="3"/>
      <c r="B36" s="4"/>
    </row>
    <row r="37" spans="1:2">
      <c r="A37" s="3"/>
      <c r="B37" s="4"/>
    </row>
    <row r="38" spans="1:2">
      <c r="A38" s="3"/>
      <c r="B38" s="4"/>
    </row>
    <row r="39" spans="1:2">
      <c r="A39" s="3"/>
      <c r="B39" s="4"/>
    </row>
    <row r="40" spans="1:2">
      <c r="A40" s="3"/>
      <c r="B40" s="4"/>
    </row>
    <row r="41" spans="1:2">
      <c r="A41" s="3"/>
      <c r="B41" s="4"/>
    </row>
    <row r="42" spans="1:2">
      <c r="A42" s="3"/>
      <c r="B42" s="4"/>
    </row>
    <row r="43" spans="1:2">
      <c r="A43" s="3"/>
      <c r="B43" s="4"/>
    </row>
    <row r="44" spans="1:2">
      <c r="A44" s="3"/>
      <c r="B44" s="4"/>
    </row>
    <row r="45" spans="1:2">
      <c r="A45" s="3"/>
      <c r="B45" s="4"/>
    </row>
    <row r="46" spans="1:2">
      <c r="A46" s="3"/>
      <c r="B46" s="4"/>
    </row>
    <row r="47" spans="1:2">
      <c r="A47" s="3"/>
      <c r="B47" s="4"/>
    </row>
    <row r="48" spans="1:2">
      <c r="A48" s="3"/>
      <c r="B48" s="4"/>
    </row>
    <row r="49" spans="1:2">
      <c r="A49" s="3"/>
      <c r="B49" s="4"/>
    </row>
    <row r="50" spans="1:2">
      <c r="A50" s="3"/>
      <c r="B50" s="4"/>
    </row>
    <row r="51" spans="1:2">
      <c r="A51" s="3"/>
      <c r="B51" s="4"/>
    </row>
    <row r="52" spans="1:2">
      <c r="A52" s="3"/>
      <c r="B52" s="4"/>
    </row>
    <row r="53" spans="1:2">
      <c r="A53" s="3"/>
      <c r="B53" s="4"/>
    </row>
    <row r="54" spans="1:2">
      <c r="A54" s="3"/>
      <c r="B54" s="4"/>
    </row>
    <row r="55" spans="1:2">
      <c r="A55" s="3"/>
      <c r="B55" s="4"/>
    </row>
    <row r="56" spans="1:2">
      <c r="A56" s="3"/>
      <c r="B56" s="4"/>
    </row>
    <row r="57" spans="1:2">
      <c r="A57" s="3"/>
      <c r="B57" s="4"/>
    </row>
    <row r="58" spans="1:2">
      <c r="A58" s="3"/>
      <c r="B58" s="4"/>
    </row>
    <row r="59" spans="1:2">
      <c r="A59" s="3"/>
      <c r="B59" s="4"/>
    </row>
    <row r="60" spans="1:2">
      <c r="A60" s="3"/>
      <c r="B60" s="4"/>
    </row>
    <row r="61" spans="1:2">
      <c r="A61" s="3"/>
      <c r="B61" s="4"/>
    </row>
    <row r="62" spans="1:2">
      <c r="A62" s="3"/>
      <c r="B62" s="4"/>
    </row>
    <row r="63" spans="1:2">
      <c r="A63" s="3"/>
      <c r="B63" s="4"/>
    </row>
    <row r="64" spans="1:2">
      <c r="A64" s="3"/>
      <c r="B64" s="4"/>
    </row>
    <row r="65" spans="1:2">
      <c r="A65" s="3"/>
      <c r="B65" s="4"/>
    </row>
    <row r="66" spans="1:2">
      <c r="A66" s="3"/>
      <c r="B66" s="4"/>
    </row>
    <row r="67" spans="1:2">
      <c r="A67" s="3"/>
      <c r="B67" s="4"/>
    </row>
    <row r="68" spans="1:2">
      <c r="A68" s="3"/>
      <c r="B68" s="4"/>
    </row>
    <row r="69" spans="1:2">
      <c r="A69" s="3"/>
      <c r="B69" s="4"/>
    </row>
    <row r="70" spans="1:2">
      <c r="A70" s="3"/>
      <c r="B70" s="4"/>
    </row>
    <row r="71" spans="1:2">
      <c r="A71" s="3"/>
      <c r="B71" s="4"/>
    </row>
    <row r="72" spans="1:2">
      <c r="A72" s="3"/>
      <c r="B72" s="4"/>
    </row>
    <row r="73" spans="1:2">
      <c r="A73" s="3"/>
      <c r="B73" s="4"/>
    </row>
    <row r="74" spans="1:2">
      <c r="A74" s="3"/>
      <c r="B74" s="4"/>
    </row>
    <row r="75" spans="1:2">
      <c r="A75" s="3"/>
      <c r="B75" s="4"/>
    </row>
    <row r="76" spans="1:2">
      <c r="A76" s="3"/>
      <c r="B76" s="4"/>
    </row>
    <row r="77" spans="1:2">
      <c r="A77" s="3"/>
      <c r="B77" s="4"/>
    </row>
    <row r="78" spans="1:2">
      <c r="A78" s="3"/>
      <c r="B78" s="4"/>
    </row>
    <row r="79" spans="1:2">
      <c r="A79" s="3"/>
      <c r="B79" s="4"/>
    </row>
    <row r="80" spans="1:2">
      <c r="A80" s="3"/>
      <c r="B80" s="4"/>
    </row>
    <row r="81" spans="1:2">
      <c r="A81" s="3"/>
      <c r="B81" s="4"/>
    </row>
    <row r="82" spans="1:2">
      <c r="A82" s="3"/>
      <c r="B82" s="4"/>
    </row>
    <row r="83" spans="1:2">
      <c r="A83" s="3"/>
      <c r="B83" s="4"/>
    </row>
    <row r="84" spans="1:2">
      <c r="A84" s="3"/>
      <c r="B84" s="4"/>
    </row>
    <row r="85" spans="1:2">
      <c r="A85" s="3"/>
      <c r="B85" s="4"/>
    </row>
    <row r="86" spans="1:2">
      <c r="A86" s="3"/>
      <c r="B86" s="4"/>
    </row>
    <row r="87" spans="1:2">
      <c r="A87" s="3"/>
      <c r="B87" s="4"/>
    </row>
    <row r="88" spans="1:2">
      <c r="A88" s="3"/>
      <c r="B88" s="4"/>
    </row>
    <row r="89" spans="1:2">
      <c r="A89" s="3"/>
      <c r="B89" s="4"/>
    </row>
    <row r="90" spans="1:2">
      <c r="A90" s="3"/>
      <c r="B90" s="4"/>
    </row>
    <row r="91" spans="1:2">
      <c r="A91" s="3"/>
      <c r="B91" s="4"/>
    </row>
    <row r="92" spans="1:2">
      <c r="A92" s="3"/>
      <c r="B92" s="4"/>
    </row>
    <row r="93" spans="1:2">
      <c r="A93" s="3"/>
      <c r="B93" s="4"/>
    </row>
    <row r="94" spans="1:2">
      <c r="A94" s="3"/>
      <c r="B94" s="4"/>
    </row>
    <row r="95" spans="1:2">
      <c r="A95" s="3"/>
      <c r="B95" s="4"/>
    </row>
    <row r="96" spans="1:2">
      <c r="A96" s="3"/>
      <c r="B96" s="4"/>
    </row>
    <row r="97" spans="1:2">
      <c r="A97" s="3"/>
      <c r="B97" s="4"/>
    </row>
    <row r="98" spans="1:2">
      <c r="A98" s="3"/>
      <c r="B98" s="4"/>
    </row>
    <row r="99" spans="1:2">
      <c r="A99" s="3"/>
      <c r="B99" s="4"/>
    </row>
    <row r="100" spans="1:2">
      <c r="A100" s="3"/>
      <c r="B100" s="4"/>
    </row>
    <row r="101" spans="1:2">
      <c r="A101" s="3"/>
      <c r="B101" s="4"/>
    </row>
    <row r="102" spans="1:2">
      <c r="A102" s="3"/>
      <c r="B102" s="4"/>
    </row>
    <row r="103" spans="1:2">
      <c r="A103" s="3"/>
      <c r="B103" s="4"/>
    </row>
    <row r="104" spans="1:2">
      <c r="A104" s="3"/>
      <c r="B104" s="4"/>
    </row>
    <row r="105" spans="1:2">
      <c r="A105" s="3"/>
      <c r="B105" s="4"/>
    </row>
    <row r="106" spans="1:2">
      <c r="A106" s="3"/>
      <c r="B106" s="4"/>
    </row>
    <row r="107" spans="1:2">
      <c r="A107" s="3"/>
      <c r="B107" s="4"/>
    </row>
    <row r="108" spans="1:2">
      <c r="A108" s="3"/>
      <c r="B108" s="4"/>
    </row>
    <row r="109" spans="1:2">
      <c r="A109" s="3"/>
      <c r="B109" s="4"/>
    </row>
    <row r="110" spans="1:2">
      <c r="A110" s="3"/>
      <c r="B110" s="4"/>
    </row>
    <row r="111" spans="1:2">
      <c r="A111" s="3"/>
      <c r="B111" s="4"/>
    </row>
    <row r="112" spans="1:2">
      <c r="A112" s="3"/>
      <c r="B112" s="4"/>
    </row>
    <row r="113" spans="1:2">
      <c r="A113" s="3"/>
      <c r="B113" s="4"/>
    </row>
    <row r="114" spans="1:2">
      <c r="A114" s="3"/>
      <c r="B114" s="4"/>
    </row>
    <row r="115" spans="1:2">
      <c r="A115" s="3"/>
      <c r="B115" s="4"/>
    </row>
    <row r="116" spans="1:2">
      <c r="A116" s="3"/>
      <c r="B116" s="4"/>
    </row>
    <row r="117" spans="1:2">
      <c r="A117" s="3"/>
      <c r="B117" s="4"/>
    </row>
    <row r="118" spans="1:2">
      <c r="A118" s="3"/>
      <c r="B118" s="4"/>
    </row>
    <row r="119" spans="1:2">
      <c r="A119" s="3"/>
      <c r="B119" s="4"/>
    </row>
    <row r="120" spans="1:2">
      <c r="A120" s="3"/>
      <c r="B120" s="4"/>
    </row>
    <row r="121" spans="1:2">
      <c r="A121" s="3"/>
      <c r="B121" s="4"/>
    </row>
    <row r="122" spans="1:2">
      <c r="A122" s="3"/>
      <c r="B122" s="4"/>
    </row>
    <row r="123" spans="1:2">
      <c r="A123" s="3"/>
      <c r="B123" s="4"/>
    </row>
    <row r="124" spans="1:2">
      <c r="A124" s="3"/>
      <c r="B124" s="4"/>
    </row>
    <row r="125" spans="1:2">
      <c r="A125" s="3"/>
      <c r="B125" s="4"/>
    </row>
    <row r="126" spans="1:2">
      <c r="A126" s="3"/>
      <c r="B126" s="4"/>
    </row>
    <row r="127" spans="1:2">
      <c r="A127" s="3"/>
      <c r="B127" s="4"/>
    </row>
    <row r="128" spans="1:2">
      <c r="A128" s="3"/>
      <c r="B128" s="4"/>
    </row>
    <row r="129" spans="1:2">
      <c r="A129" s="3"/>
      <c r="B129" s="4"/>
    </row>
    <row r="130" spans="1:2">
      <c r="A130" s="3"/>
      <c r="B130" s="4"/>
    </row>
    <row r="131" spans="1:2">
      <c r="A131" s="3"/>
      <c r="B131" s="4"/>
    </row>
    <row r="132" spans="1:2">
      <c r="A132" s="3"/>
      <c r="B132" s="4"/>
    </row>
    <row r="133" spans="1:2">
      <c r="A133" s="3"/>
      <c r="B133" s="4"/>
    </row>
    <row r="134" spans="1:2">
      <c r="A134" s="3"/>
      <c r="B134" s="4"/>
    </row>
    <row r="135" spans="1:2">
      <c r="A135" s="3"/>
      <c r="B135" s="4"/>
    </row>
    <row r="136" spans="1:2">
      <c r="A136" s="3"/>
      <c r="B136" s="4"/>
    </row>
    <row r="137" spans="1:2">
      <c r="A137" s="3"/>
      <c r="B137" s="4"/>
    </row>
    <row r="138" spans="1:2">
      <c r="A138" s="3"/>
      <c r="B138" s="4"/>
    </row>
    <row r="139" spans="1:2">
      <c r="A139" s="3"/>
      <c r="B139" s="4"/>
    </row>
    <row r="140" spans="1:2">
      <c r="A140" s="3"/>
      <c r="B140" s="4"/>
    </row>
    <row r="141" spans="1:2">
      <c r="A141" s="3"/>
      <c r="B141" s="4"/>
    </row>
    <row r="142" spans="1:2">
      <c r="A142" s="3"/>
      <c r="B142" s="4"/>
    </row>
    <row r="143" spans="1:2">
      <c r="A143" s="3"/>
      <c r="B143" s="4"/>
    </row>
    <row r="144" spans="1:2">
      <c r="A144" s="3"/>
      <c r="B144" s="4"/>
    </row>
    <row r="145" spans="1:2">
      <c r="A145" s="3"/>
      <c r="B145" s="4"/>
    </row>
    <row r="146" spans="1:2">
      <c r="A146" s="3"/>
      <c r="B146" s="4"/>
    </row>
    <row r="147" spans="1:2">
      <c r="A147" s="3"/>
      <c r="B147" s="4"/>
    </row>
    <row r="148" spans="1:2">
      <c r="A148" s="3"/>
      <c r="B148" s="4"/>
    </row>
    <row r="149" spans="1:2">
      <c r="A149" s="3"/>
      <c r="B149" s="4"/>
    </row>
    <row r="150" spans="1:2">
      <c r="A150" s="3"/>
      <c r="B150" s="4"/>
    </row>
    <row r="151" spans="1:2">
      <c r="A151" s="3"/>
      <c r="B151" s="4"/>
    </row>
    <row r="152" spans="1:2">
      <c r="A152" s="3"/>
      <c r="B152" s="4"/>
    </row>
    <row r="153" spans="1:2">
      <c r="A153" s="3"/>
      <c r="B153" s="4"/>
    </row>
    <row r="154" spans="1:2">
      <c r="A154" s="3"/>
      <c r="B154" s="4"/>
    </row>
    <row r="155" spans="1:2">
      <c r="A155" s="3"/>
      <c r="B155" s="4"/>
    </row>
    <row r="156" spans="1:2">
      <c r="A156" s="3"/>
      <c r="B156" s="4"/>
    </row>
    <row r="157" spans="1:2">
      <c r="A157" s="3"/>
      <c r="B157" s="4"/>
    </row>
    <row r="158" spans="1:2">
      <c r="A158" s="3"/>
      <c r="B158" s="4"/>
    </row>
    <row r="159" spans="1:2">
      <c r="A159" s="3"/>
      <c r="B159" s="4"/>
    </row>
    <row r="160" spans="1:2">
      <c r="A160" s="3"/>
      <c r="B160" s="4"/>
    </row>
    <row r="161" spans="1:2">
      <c r="A161" s="3"/>
      <c r="B161" s="4"/>
    </row>
    <row r="162" spans="1:2">
      <c r="A162" s="3"/>
      <c r="B162" s="4"/>
    </row>
    <row r="163" spans="1:2">
      <c r="A163" s="3"/>
      <c r="B163" s="4"/>
    </row>
    <row r="164" spans="1:2">
      <c r="A164" s="3"/>
      <c r="B164" s="4"/>
    </row>
    <row r="165" spans="1:2">
      <c r="A165" s="3"/>
      <c r="B165" s="4"/>
    </row>
    <row r="166" spans="1:2">
      <c r="A166" s="3"/>
      <c r="B166" s="4"/>
    </row>
    <row r="167" spans="1:2">
      <c r="A167" s="3"/>
      <c r="B167" s="4"/>
    </row>
    <row r="168" spans="1:2">
      <c r="A168" s="3"/>
      <c r="B168" s="4"/>
    </row>
    <row r="169" spans="1:2">
      <c r="A169" s="3"/>
      <c r="B169" s="4"/>
    </row>
    <row r="170" spans="1:2">
      <c r="A170" s="3"/>
      <c r="B170" s="4"/>
    </row>
    <row r="171" spans="1:2">
      <c r="A171" s="3"/>
      <c r="B171" s="4"/>
    </row>
    <row r="172" spans="1:2">
      <c r="A172" s="3"/>
      <c r="B172" s="4"/>
    </row>
    <row r="173" spans="1:2">
      <c r="A173" s="3"/>
      <c r="B173" s="4"/>
    </row>
    <row r="174" spans="1:2">
      <c r="A174" s="3"/>
      <c r="B174" s="4"/>
    </row>
    <row r="175" spans="1:2">
      <c r="A175" s="3"/>
      <c r="B175" s="4"/>
    </row>
    <row r="176" spans="1:2">
      <c r="A176" s="3"/>
      <c r="B176" s="4"/>
    </row>
    <row r="177" spans="1:2">
      <c r="A177" s="3"/>
      <c r="B177" s="4"/>
    </row>
    <row r="178" spans="1:2">
      <c r="A178" s="3"/>
      <c r="B178" s="4"/>
    </row>
    <row r="179" spans="1:2">
      <c r="A179" s="3"/>
      <c r="B179" s="4"/>
    </row>
    <row r="180" spans="1:2">
      <c r="A180" s="3"/>
      <c r="B180" s="4"/>
    </row>
    <row r="181" spans="1:2">
      <c r="A181" s="3"/>
      <c r="B181" s="4"/>
    </row>
    <row r="182" spans="1:2">
      <c r="A182" s="3"/>
      <c r="B182" s="4"/>
    </row>
    <row r="183" spans="1:2">
      <c r="A183" s="3"/>
      <c r="B183" s="4"/>
    </row>
    <row r="184" spans="1:2">
      <c r="A184" s="3"/>
      <c r="B184" s="4"/>
    </row>
    <row r="185" spans="1:2">
      <c r="A185" s="3"/>
      <c r="B185" s="4"/>
    </row>
    <row r="186" spans="1:2">
      <c r="A186" s="3"/>
      <c r="B186" s="4"/>
    </row>
    <row r="187" spans="1:2">
      <c r="A187" s="3"/>
      <c r="B187" s="4"/>
    </row>
    <row r="188" spans="1:2">
      <c r="A188" s="3"/>
      <c r="B188" s="4"/>
    </row>
    <row r="189" spans="1:2">
      <c r="A189" s="3"/>
      <c r="B189" s="4"/>
    </row>
    <row r="190" spans="1:2">
      <c r="A190" s="3"/>
      <c r="B190" s="4"/>
    </row>
    <row r="191" spans="1:2">
      <c r="A191" s="3"/>
      <c r="B191" s="4"/>
    </row>
    <row r="192" spans="1:2">
      <c r="A192" s="3"/>
      <c r="B192" s="4"/>
    </row>
    <row r="193" spans="1:2">
      <c r="A193" s="3"/>
      <c r="B193" s="4"/>
    </row>
    <row r="194" spans="1:2">
      <c r="A194" s="3"/>
      <c r="B194" s="4"/>
    </row>
    <row r="195" spans="1:2">
      <c r="A195" s="3"/>
      <c r="B195" s="4"/>
    </row>
    <row r="196" spans="1:2">
      <c r="A196" s="3"/>
      <c r="B196" s="4"/>
    </row>
    <row r="197" spans="1:2">
      <c r="A197" s="3"/>
      <c r="B197" s="4"/>
    </row>
    <row r="198" spans="1:2">
      <c r="A198" s="3"/>
      <c r="B198" s="4"/>
    </row>
    <row r="199" spans="1:2">
      <c r="A199" s="3"/>
      <c r="B199" s="4"/>
    </row>
    <row r="200" spans="1:2">
      <c r="A200" s="3"/>
      <c r="B200" s="4"/>
    </row>
    <row r="201" spans="1:2">
      <c r="A201" s="3"/>
      <c r="B201" s="4"/>
    </row>
    <row r="202" spans="1:2">
      <c r="A202" s="3"/>
      <c r="B202" s="4"/>
    </row>
    <row r="203" spans="1:2">
      <c r="A203" s="3"/>
      <c r="B203" s="4"/>
    </row>
    <row r="204" spans="1:2">
      <c r="A204" s="3"/>
      <c r="B204" s="4"/>
    </row>
    <row r="205" spans="1:2">
      <c r="A205" s="3"/>
      <c r="B205" s="4"/>
    </row>
    <row r="206" spans="1:2">
      <c r="A206" s="3"/>
      <c r="B206" s="4"/>
    </row>
    <row r="207" spans="1:2">
      <c r="A207" s="3"/>
      <c r="B207" s="4"/>
    </row>
    <row r="208" spans="1:2">
      <c r="A208" s="3"/>
      <c r="B208" s="4"/>
    </row>
    <row r="209" spans="1:2">
      <c r="A209" s="3"/>
      <c r="B209" s="4"/>
    </row>
    <row r="210" spans="1:2">
      <c r="A210" s="3"/>
      <c r="B210" s="4"/>
    </row>
    <row r="211" spans="1:2">
      <c r="A211" s="3"/>
      <c r="B211" s="4"/>
    </row>
    <row r="212" spans="1:2">
      <c r="A212" s="3"/>
      <c r="B212" s="4"/>
    </row>
    <row r="213" spans="1:2">
      <c r="A213" s="3"/>
      <c r="B213" s="4"/>
    </row>
    <row r="214" spans="1:2">
      <c r="A214" s="3"/>
      <c r="B214" s="4"/>
    </row>
    <row r="215" spans="1:2">
      <c r="A215" s="3"/>
      <c r="B215" s="4"/>
    </row>
    <row r="216" spans="1:2">
      <c r="A216" s="3"/>
      <c r="B216" s="4"/>
    </row>
    <row r="217" spans="1:2">
      <c r="A217" s="3"/>
      <c r="B217" s="4"/>
    </row>
    <row r="218" spans="1:2">
      <c r="A218" s="3"/>
      <c r="B218" s="4"/>
    </row>
    <row r="219" spans="1:2">
      <c r="A219" s="3"/>
      <c r="B219" s="4"/>
    </row>
    <row r="220" spans="1:2">
      <c r="A220" s="3"/>
      <c r="B220" s="4"/>
    </row>
    <row r="221" spans="1:2">
      <c r="A221" s="3"/>
      <c r="B221" s="4"/>
    </row>
    <row r="222" spans="1:2">
      <c r="A222" s="3"/>
      <c r="B222" s="4"/>
    </row>
    <row r="223" spans="1:2">
      <c r="A223" s="3"/>
      <c r="B223" s="4"/>
    </row>
    <row r="224" spans="1:2">
      <c r="A224" s="3"/>
      <c r="B224" s="4"/>
    </row>
    <row r="225" spans="1:2">
      <c r="A225" s="3"/>
      <c r="B225" s="4"/>
    </row>
    <row r="226" spans="1:2">
      <c r="A226" s="3"/>
      <c r="B226" s="4"/>
    </row>
    <row r="227" spans="1:2">
      <c r="A227" s="3"/>
      <c r="B227" s="4"/>
    </row>
    <row r="228" spans="1:2">
      <c r="A228" s="3"/>
      <c r="B228" s="4"/>
    </row>
    <row r="229" spans="1:2">
      <c r="A229" s="3"/>
      <c r="B229" s="4"/>
    </row>
    <row r="230" spans="1:2">
      <c r="A230" s="3"/>
      <c r="B230" s="4"/>
    </row>
    <row r="231" spans="1:2">
      <c r="A231" s="3"/>
      <c r="B231" s="4"/>
    </row>
    <row r="232" spans="1:2">
      <c r="A232" s="3"/>
      <c r="B232" s="4"/>
    </row>
    <row r="233" spans="1:2">
      <c r="A233" s="3"/>
      <c r="B233" s="4"/>
    </row>
    <row r="234" spans="1:2">
      <c r="A234" s="3"/>
      <c r="B234" s="4"/>
    </row>
    <row r="235" spans="1:2">
      <c r="A235" s="3"/>
      <c r="B235" s="4"/>
    </row>
    <row r="236" spans="1:2">
      <c r="A236" s="3"/>
      <c r="B236" s="4"/>
    </row>
    <row r="237" spans="1:2">
      <c r="A237" s="3"/>
      <c r="B237" s="4"/>
    </row>
    <row r="238" spans="1:2">
      <c r="A238" s="3"/>
      <c r="B238" s="4"/>
    </row>
    <row r="239" spans="1:2">
      <c r="A239" s="3"/>
      <c r="B239" s="4"/>
    </row>
    <row r="240" spans="1:2">
      <c r="A240" s="3"/>
      <c r="B240" s="4"/>
    </row>
    <row r="241" spans="1:2">
      <c r="A241" s="3"/>
      <c r="B241" s="4"/>
    </row>
    <row r="242" spans="1:2">
      <c r="A242" s="3"/>
      <c r="B242" s="4"/>
    </row>
    <row r="243" spans="1:2">
      <c r="A243" s="3"/>
      <c r="B243" s="4"/>
    </row>
    <row r="244" spans="1:2">
      <c r="A244" s="3"/>
      <c r="B244" s="4"/>
    </row>
    <row r="245" spans="1:2">
      <c r="A245" s="3"/>
      <c r="B245" s="4"/>
    </row>
    <row r="246" spans="1:2">
      <c r="A246" s="3"/>
      <c r="B246" s="4"/>
    </row>
    <row r="247" spans="1:2">
      <c r="A247" s="3"/>
      <c r="B247" s="4"/>
    </row>
    <row r="248" spans="1:2">
      <c r="A248" s="3"/>
      <c r="B248" s="4"/>
    </row>
    <row r="249" spans="1:2">
      <c r="A249" s="3"/>
      <c r="B249" s="4"/>
    </row>
    <row r="250" spans="1:2">
      <c r="A250" s="3"/>
      <c r="B250" s="4"/>
    </row>
    <row r="251" spans="1:2">
      <c r="A251" s="3"/>
      <c r="B251" s="4"/>
    </row>
    <row r="252" spans="1:2">
      <c r="A252" s="3"/>
      <c r="B252" s="4"/>
    </row>
    <row r="253" spans="1:2">
      <c r="A253" s="3"/>
      <c r="B253" s="4"/>
    </row>
    <row r="254" spans="1:2">
      <c r="A254" s="3"/>
      <c r="B254" s="4"/>
    </row>
    <row r="255" spans="1:2">
      <c r="A255" s="3"/>
      <c r="B255" s="4"/>
    </row>
    <row r="256" spans="1:2">
      <c r="A256" s="3"/>
      <c r="B256" s="4"/>
    </row>
    <row r="257" spans="1:2">
      <c r="A257" s="3"/>
      <c r="B257" s="4"/>
    </row>
    <row r="258" spans="1:2">
      <c r="A258" s="3"/>
      <c r="B258" s="4"/>
    </row>
    <row r="259" spans="1:2">
      <c r="A259" s="3"/>
      <c r="B259" s="4"/>
    </row>
    <row r="260" spans="1:2">
      <c r="A260" s="3"/>
      <c r="B260" s="4"/>
    </row>
    <row r="261" spans="1:2">
      <c r="A261" s="3"/>
      <c r="B261" s="4"/>
    </row>
    <row r="262" spans="1:2">
      <c r="A262" s="3"/>
      <c r="B262" s="4"/>
    </row>
    <row r="263" spans="1:2">
      <c r="A263" s="3"/>
      <c r="B263" s="4"/>
    </row>
    <row r="264" spans="1:2">
      <c r="A264" s="3"/>
      <c r="B264" s="4"/>
    </row>
    <row r="265" spans="1:2">
      <c r="A265" s="3"/>
      <c r="B265" s="4"/>
    </row>
    <row r="266" spans="1:2">
      <c r="A266" s="3"/>
      <c r="B266" s="4"/>
    </row>
    <row r="267" spans="1:2">
      <c r="A267" s="3"/>
      <c r="B267" s="4"/>
    </row>
    <row r="268" spans="1:2">
      <c r="A268" s="3"/>
      <c r="B268" s="4"/>
    </row>
    <row r="269" spans="1:2">
      <c r="A269" s="3"/>
      <c r="B269" s="4"/>
    </row>
    <row r="270" spans="1:2">
      <c r="A270" s="3"/>
      <c r="B270" s="4"/>
    </row>
    <row r="271" spans="1:2">
      <c r="A271" s="3"/>
      <c r="B271" s="4"/>
    </row>
    <row r="272" spans="1:2">
      <c r="A272" s="3"/>
      <c r="B272" s="4"/>
    </row>
    <row r="273" spans="1:2">
      <c r="A273" s="3"/>
      <c r="B273" s="4"/>
    </row>
    <row r="274" spans="1:2">
      <c r="A274" s="3"/>
      <c r="B274" s="4"/>
    </row>
    <row r="275" spans="1:2">
      <c r="A275" s="3"/>
      <c r="B275" s="4"/>
    </row>
    <row r="276" spans="1:2">
      <c r="A276" s="3"/>
      <c r="B276" s="4"/>
    </row>
    <row r="277" spans="1:2">
      <c r="A277" s="3"/>
      <c r="B277" s="4"/>
    </row>
    <row r="278" spans="1:2">
      <c r="A278" s="3"/>
      <c r="B278" s="4"/>
    </row>
    <row r="279" spans="1:2">
      <c r="A279" s="3"/>
      <c r="B279" s="4"/>
    </row>
    <row r="280" spans="1:2">
      <c r="A280" s="3"/>
      <c r="B280" s="4"/>
    </row>
    <row r="281" spans="1:2">
      <c r="A281" s="3"/>
      <c r="B281" s="4"/>
    </row>
    <row r="282" spans="1:2">
      <c r="A282" s="3"/>
      <c r="B282" s="4"/>
    </row>
    <row r="283" spans="1:2">
      <c r="A283" s="3"/>
      <c r="B283" s="4"/>
    </row>
    <row r="284" spans="1:2">
      <c r="A284" s="3"/>
      <c r="B284" s="4"/>
    </row>
    <row r="285" spans="1:2">
      <c r="A285" s="3"/>
      <c r="B285" s="4"/>
    </row>
    <row r="286" spans="1:2">
      <c r="A286" s="3"/>
      <c r="B286" s="4"/>
    </row>
    <row r="287" spans="1:2">
      <c r="A287" s="3"/>
      <c r="B287" s="4"/>
    </row>
    <row r="288" spans="1:2">
      <c r="A288" s="3"/>
      <c r="B288" s="4"/>
    </row>
    <row r="289" spans="1:2">
      <c r="A289" s="3"/>
      <c r="B289" s="4"/>
    </row>
    <row r="290" spans="1:2">
      <c r="A290" s="3"/>
      <c r="B290" s="4"/>
    </row>
    <row r="291" spans="1:2">
      <c r="A291" s="3"/>
      <c r="B291" s="4"/>
    </row>
    <row r="292" spans="1:2">
      <c r="A292" s="3"/>
      <c r="B292" s="4"/>
    </row>
    <row r="293" spans="1:2">
      <c r="A293" s="3"/>
      <c r="B293" s="4"/>
    </row>
    <row r="294" spans="1:2">
      <c r="A294" s="3"/>
      <c r="B294" s="4"/>
    </row>
    <row r="295" spans="1:2">
      <c r="A295" s="3"/>
      <c r="B295" s="4"/>
    </row>
    <row r="296" spans="1:2">
      <c r="A296" s="3"/>
      <c r="B296" s="4"/>
    </row>
    <row r="297" spans="1:2">
      <c r="A297" s="3"/>
      <c r="B297" s="4"/>
    </row>
    <row r="298" spans="1:2">
      <c r="A298" s="3"/>
      <c r="B298" s="4"/>
    </row>
    <row r="299" spans="1:2">
      <c r="A299" s="3"/>
      <c r="B299" s="4"/>
    </row>
    <row r="300" spans="1:2">
      <c r="A300" s="3"/>
      <c r="B300" s="4"/>
    </row>
    <row r="301" spans="1:2">
      <c r="A301" s="3"/>
      <c r="B301" s="4"/>
    </row>
    <row r="302" spans="1:2">
      <c r="A302" s="3"/>
      <c r="B302" s="4"/>
    </row>
    <row r="303" spans="1:2">
      <c r="A303" s="3"/>
      <c r="B303" s="4"/>
    </row>
    <row r="304" spans="1:2">
      <c r="A304" s="3"/>
      <c r="B304" s="4"/>
    </row>
    <row r="305" spans="1:2">
      <c r="A305" s="3"/>
      <c r="B305" s="4"/>
    </row>
    <row r="306" spans="1:2">
      <c r="A306" s="3"/>
      <c r="B306" s="4"/>
    </row>
    <row r="307" spans="1:2">
      <c r="A307" s="3"/>
      <c r="B307" s="4"/>
    </row>
    <row r="308" spans="1:2">
      <c r="A308" s="3"/>
      <c r="B308" s="4"/>
    </row>
    <row r="309" spans="1:2">
      <c r="A309" s="3"/>
      <c r="B309" s="4"/>
    </row>
    <row r="310" spans="1:2">
      <c r="A310" s="3"/>
      <c r="B310" s="4"/>
    </row>
    <row r="311" spans="1:2">
      <c r="A311" s="3"/>
      <c r="B311" s="4"/>
    </row>
    <row r="312" spans="1:2">
      <c r="A312" s="3"/>
      <c r="B312" s="4"/>
    </row>
    <row r="313" spans="1:2">
      <c r="A313" s="3"/>
      <c r="B313" s="4"/>
    </row>
    <row r="314" spans="1:2">
      <c r="A314" s="3"/>
      <c r="B314" s="4"/>
    </row>
    <row r="315" spans="1:2">
      <c r="A315" s="3"/>
      <c r="B315" s="4"/>
    </row>
    <row r="316" spans="1:2">
      <c r="A316" s="3"/>
      <c r="B316" s="4"/>
    </row>
    <row r="317" spans="1:2">
      <c r="A317" s="3"/>
      <c r="B317" s="4"/>
    </row>
    <row r="318" spans="1:2">
      <c r="A318" s="3"/>
      <c r="B318" s="4"/>
    </row>
    <row r="319" spans="1:2">
      <c r="A319" s="3"/>
      <c r="B319" s="4"/>
    </row>
    <row r="320" spans="1:2">
      <c r="A320" s="3"/>
      <c r="B320" s="4"/>
    </row>
    <row r="321" spans="1:2">
      <c r="A321" s="3"/>
      <c r="B321" s="4"/>
    </row>
    <row r="322" spans="1:2">
      <c r="A322" s="3"/>
      <c r="B322" s="4"/>
    </row>
    <row r="323" spans="1:2">
      <c r="A323" s="3"/>
      <c r="B323" s="4"/>
    </row>
    <row r="324" spans="1:2">
      <c r="A324" s="3"/>
      <c r="B324" s="4"/>
    </row>
    <row r="325" spans="1:2">
      <c r="A325" s="3"/>
      <c r="B325" s="4"/>
    </row>
    <row r="326" spans="1:2">
      <c r="A326" s="3"/>
      <c r="B326" s="4"/>
    </row>
    <row r="327" spans="1:2">
      <c r="A327" s="3"/>
      <c r="B327" s="4"/>
    </row>
    <row r="328" spans="1:2">
      <c r="A328" s="3"/>
      <c r="B328" s="4"/>
    </row>
    <row r="329" spans="1:2">
      <c r="A329" s="3"/>
      <c r="B329" s="4"/>
    </row>
    <row r="330" spans="1:2">
      <c r="A330" s="3"/>
      <c r="B330" s="4"/>
    </row>
    <row r="331" spans="1:2">
      <c r="A331" s="3"/>
      <c r="B331" s="4"/>
    </row>
    <row r="332" spans="1:2">
      <c r="A332" s="3"/>
      <c r="B332" s="4"/>
    </row>
    <row r="333" spans="1:2">
      <c r="A333" s="3"/>
      <c r="B333" s="4"/>
    </row>
    <row r="334" spans="1:2">
      <c r="A334" s="3"/>
      <c r="B334" s="4"/>
    </row>
    <row r="335" spans="1:2">
      <c r="A335" s="3"/>
      <c r="B335" s="4"/>
    </row>
    <row r="336" spans="1:2">
      <c r="A336" s="3"/>
      <c r="B336" s="4"/>
    </row>
    <row r="337" spans="1:2">
      <c r="A337" s="3"/>
      <c r="B337" s="4"/>
    </row>
    <row r="338" spans="1:2">
      <c r="A338" s="3"/>
      <c r="B338" s="4"/>
    </row>
    <row r="339" spans="1:2">
      <c r="A339" s="3"/>
      <c r="B339" s="4"/>
    </row>
    <row r="340" spans="1:2">
      <c r="A340" s="3"/>
      <c r="B340" s="4"/>
    </row>
    <row r="341" spans="1:2">
      <c r="A341" s="3"/>
      <c r="B341" s="4"/>
    </row>
    <row r="342" spans="1:2">
      <c r="A342" s="3"/>
      <c r="B342" s="4"/>
    </row>
    <row r="343" spans="1:2">
      <c r="A343" s="3"/>
      <c r="B343" s="4"/>
    </row>
    <row r="344" spans="1:2">
      <c r="A344" s="3"/>
      <c r="B344" s="4"/>
    </row>
    <row r="345" spans="1:2">
      <c r="A345" s="3"/>
      <c r="B345" s="4"/>
    </row>
    <row r="346" spans="1:2">
      <c r="A346" s="3"/>
      <c r="B346" s="4"/>
    </row>
    <row r="347" spans="1:2">
      <c r="A347" s="3"/>
      <c r="B347" s="4"/>
    </row>
    <row r="348" spans="1:2">
      <c r="A348" s="3"/>
      <c r="B348" s="4"/>
    </row>
    <row r="349" spans="1:2">
      <c r="A349" s="3"/>
      <c r="B349" s="4"/>
    </row>
    <row r="350" spans="1:2">
      <c r="A350" s="3"/>
      <c r="B350" s="4"/>
    </row>
    <row r="351" spans="1:2">
      <c r="A351" s="3"/>
      <c r="B351" s="4"/>
    </row>
    <row r="352" spans="1:2">
      <c r="A352" s="3"/>
      <c r="B352" s="4"/>
    </row>
    <row r="353" spans="1:2">
      <c r="A353" s="3"/>
      <c r="B353" s="4"/>
    </row>
    <row r="354" spans="1:2">
      <c r="A354" s="3"/>
      <c r="B354" s="4"/>
    </row>
    <row r="355" spans="1:2">
      <c r="A355" s="3"/>
      <c r="B355" s="4"/>
    </row>
    <row r="356" spans="1:2">
      <c r="A356" s="3"/>
      <c r="B356" s="4"/>
    </row>
    <row r="357" spans="1:2">
      <c r="A357" s="3"/>
      <c r="B357" s="4"/>
    </row>
    <row r="358" spans="1:2">
      <c r="A358" s="3"/>
      <c r="B358" s="4"/>
    </row>
    <row r="359" spans="1:2">
      <c r="A359" s="3"/>
      <c r="B359" s="4"/>
    </row>
    <row r="360" spans="1:2">
      <c r="A360" s="3"/>
      <c r="B360" s="4"/>
    </row>
    <row r="361" spans="1:2">
      <c r="A361" s="3"/>
      <c r="B361" s="4"/>
    </row>
    <row r="362" spans="1:2">
      <c r="A362" s="3"/>
      <c r="B362" s="4"/>
    </row>
    <row r="363" spans="1:2">
      <c r="A363" s="3"/>
      <c r="B363" s="4"/>
    </row>
    <row r="364" spans="1:2">
      <c r="A364" s="3"/>
      <c r="B364" s="4"/>
    </row>
    <row r="365" spans="1:2">
      <c r="A365" s="3"/>
      <c r="B365" s="4"/>
    </row>
    <row r="366" spans="1:2">
      <c r="A366" s="3"/>
      <c r="B366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B53F-1622-43ED-94D5-4191A77505A9}">
  <dimension ref="A1:K13"/>
  <sheetViews>
    <sheetView topLeftCell="C1" workbookViewId="0">
      <selection activeCell="H13" sqref="H13"/>
    </sheetView>
  </sheetViews>
  <sheetFormatPr defaultColWidth="10.125" defaultRowHeight="15.75"/>
  <cols>
    <col min="3" max="3" width="17.875" customWidth="1"/>
    <col min="5" max="5" width="14.375" customWidth="1"/>
    <col min="6" max="6" width="21.375" bestFit="1" customWidth="1"/>
    <col min="7" max="7" width="23.875" bestFit="1" customWidth="1"/>
  </cols>
  <sheetData>
    <row r="1" spans="1:11">
      <c r="A1" s="1" t="s">
        <v>39</v>
      </c>
      <c r="B1" s="2" t="s">
        <v>40</v>
      </c>
      <c r="C1" s="2" t="s">
        <v>41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>
      <c r="A2" s="3" t="s">
        <v>26</v>
      </c>
      <c r="B2" s="4">
        <v>1213</v>
      </c>
    </row>
    <row r="3" spans="1:11">
      <c r="A3" s="3" t="s">
        <v>27</v>
      </c>
      <c r="B3" s="4">
        <v>1148</v>
      </c>
    </row>
    <row r="4" spans="1:11">
      <c r="A4" s="3" t="s">
        <v>28</v>
      </c>
      <c r="B4" s="4">
        <v>1218</v>
      </c>
      <c r="C4">
        <f>AVERAGE(B2:B3)</f>
        <v>1180.5</v>
      </c>
      <c r="D4">
        <f>B4-C4</f>
        <v>37.5</v>
      </c>
      <c r="E4">
        <f>ABS(D4)</f>
        <v>37.5</v>
      </c>
      <c r="F4">
        <f>E4^2</f>
        <v>1406.25</v>
      </c>
      <c r="G4" s="30">
        <f>E4/B4</f>
        <v>3.0788177339901478E-2</v>
      </c>
    </row>
    <row r="5" spans="1:11">
      <c r="A5" s="3" t="s">
        <v>29</v>
      </c>
      <c r="B5" s="4">
        <v>1195</v>
      </c>
      <c r="C5">
        <f t="shared" ref="C5:C13" si="0">AVERAGE(B3:B4)</f>
        <v>1183</v>
      </c>
      <c r="D5">
        <f t="shared" ref="D5:D13" si="1">B5-C5</f>
        <v>12</v>
      </c>
      <c r="E5">
        <f t="shared" ref="E5:E13" si="2">ABS(D5)</f>
        <v>12</v>
      </c>
      <c r="F5">
        <f t="shared" ref="F5:F13" si="3">E5^2</f>
        <v>144</v>
      </c>
      <c r="G5" s="30">
        <f t="shared" ref="G5:G13" si="4">E5/B5</f>
        <v>1.00418410041841E-2</v>
      </c>
    </row>
    <row r="6" spans="1:11">
      <c r="A6" s="3" t="s">
        <v>30</v>
      </c>
      <c r="B6" s="4">
        <v>1208</v>
      </c>
      <c r="C6">
        <f t="shared" si="0"/>
        <v>1206.5</v>
      </c>
      <c r="D6">
        <f t="shared" si="1"/>
        <v>1.5</v>
      </c>
      <c r="E6">
        <f t="shared" si="2"/>
        <v>1.5</v>
      </c>
      <c r="F6">
        <f t="shared" si="3"/>
        <v>2.25</v>
      </c>
      <c r="G6" s="30">
        <f t="shared" si="4"/>
        <v>1.2417218543046358E-3</v>
      </c>
      <c r="J6" s="6" t="s">
        <v>7</v>
      </c>
      <c r="K6" s="7">
        <f>AVERAGE(E4:E13)</f>
        <v>49.95</v>
      </c>
    </row>
    <row r="7" spans="1:11">
      <c r="A7" s="3" t="s">
        <v>31</v>
      </c>
      <c r="B7" s="4">
        <v>1212</v>
      </c>
      <c r="C7">
        <f t="shared" si="0"/>
        <v>1201.5</v>
      </c>
      <c r="D7">
        <f t="shared" si="1"/>
        <v>10.5</v>
      </c>
      <c r="E7">
        <f t="shared" si="2"/>
        <v>10.5</v>
      </c>
      <c r="F7">
        <f t="shared" si="3"/>
        <v>110.25</v>
      </c>
      <c r="G7" s="30">
        <f t="shared" si="4"/>
        <v>8.6633663366336641E-3</v>
      </c>
      <c r="J7" s="2" t="s">
        <v>8</v>
      </c>
      <c r="K7" s="8">
        <f>AVERAGE(F4:F13)</f>
        <v>3951.2249999999999</v>
      </c>
    </row>
    <row r="8" spans="1:11">
      <c r="A8" s="3" t="s">
        <v>32</v>
      </c>
      <c r="B8" s="4">
        <v>1300</v>
      </c>
      <c r="C8">
        <f t="shared" si="0"/>
        <v>1210</v>
      </c>
      <c r="D8">
        <f t="shared" si="1"/>
        <v>90</v>
      </c>
      <c r="E8">
        <f t="shared" si="2"/>
        <v>90</v>
      </c>
      <c r="F8">
        <f t="shared" si="3"/>
        <v>8100</v>
      </c>
      <c r="G8" s="30">
        <f t="shared" si="4"/>
        <v>6.9230769230769235E-2</v>
      </c>
      <c r="J8" s="2" t="s">
        <v>9</v>
      </c>
      <c r="K8" s="21">
        <f>AVERAGE(G4:G13)</f>
        <v>3.7238161105475717E-2</v>
      </c>
    </row>
    <row r="9" spans="1:11" ht="16.5" thickBot="1">
      <c r="A9" s="3" t="s">
        <v>33</v>
      </c>
      <c r="B9" s="4">
        <v>1351</v>
      </c>
      <c r="C9">
        <f t="shared" si="0"/>
        <v>1256</v>
      </c>
      <c r="D9">
        <f t="shared" si="1"/>
        <v>95</v>
      </c>
      <c r="E9">
        <f t="shared" si="2"/>
        <v>95</v>
      </c>
      <c r="F9">
        <f t="shared" si="3"/>
        <v>9025</v>
      </c>
      <c r="G9" s="30">
        <f t="shared" si="4"/>
        <v>7.0318282753515912E-2</v>
      </c>
      <c r="J9" s="9" t="s">
        <v>10</v>
      </c>
      <c r="K9" s="26">
        <f>100% -K8</f>
        <v>0.96276183889452427</v>
      </c>
    </row>
    <row r="10" spans="1:11" ht="16.5" thickTop="1">
      <c r="A10" s="3" t="s">
        <v>34</v>
      </c>
      <c r="B10" s="4">
        <v>1446</v>
      </c>
      <c r="C10">
        <f t="shared" si="0"/>
        <v>1325.5</v>
      </c>
      <c r="D10">
        <f t="shared" si="1"/>
        <v>120.5</v>
      </c>
      <c r="E10">
        <f t="shared" si="2"/>
        <v>120.5</v>
      </c>
      <c r="F10">
        <f t="shared" si="3"/>
        <v>14520.25</v>
      </c>
      <c r="G10" s="30">
        <f t="shared" si="4"/>
        <v>8.3333333333333329E-2</v>
      </c>
    </row>
    <row r="11" spans="1:11">
      <c r="A11" s="3" t="s">
        <v>35</v>
      </c>
      <c r="B11" s="4">
        <v>1368</v>
      </c>
      <c r="C11">
        <f t="shared" si="0"/>
        <v>1398.5</v>
      </c>
      <c r="D11">
        <f t="shared" si="1"/>
        <v>-30.5</v>
      </c>
      <c r="E11">
        <f t="shared" si="2"/>
        <v>30.5</v>
      </c>
      <c r="F11">
        <f t="shared" si="3"/>
        <v>930.25</v>
      </c>
      <c r="G11" s="30">
        <f t="shared" si="4"/>
        <v>2.2295321637426899E-2</v>
      </c>
    </row>
    <row r="12" spans="1:11">
      <c r="A12" s="3" t="s">
        <v>36</v>
      </c>
      <c r="B12" s="4">
        <v>1350</v>
      </c>
      <c r="C12">
        <f t="shared" si="0"/>
        <v>1407</v>
      </c>
      <c r="D12">
        <f t="shared" si="1"/>
        <v>-57</v>
      </c>
      <c r="E12">
        <f t="shared" si="2"/>
        <v>57</v>
      </c>
      <c r="F12">
        <f t="shared" si="3"/>
        <v>3249</v>
      </c>
      <c r="G12" s="30">
        <f t="shared" si="4"/>
        <v>4.2222222222222223E-2</v>
      </c>
    </row>
    <row r="13" spans="1:11">
      <c r="A13" s="3" t="s">
        <v>37</v>
      </c>
      <c r="B13" s="4">
        <v>1314</v>
      </c>
      <c r="C13">
        <f t="shared" si="0"/>
        <v>1359</v>
      </c>
      <c r="D13">
        <f t="shared" si="1"/>
        <v>-45</v>
      </c>
      <c r="E13">
        <f t="shared" si="2"/>
        <v>45</v>
      </c>
      <c r="F13">
        <f t="shared" si="3"/>
        <v>2025</v>
      </c>
      <c r="G13" s="30">
        <f t="shared" si="4"/>
        <v>3.4246575342465752E-2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17A63-C4AE-49FB-89CB-A2967D7B2B9C}">
  <dimension ref="A1:K13"/>
  <sheetViews>
    <sheetView topLeftCell="B1" workbookViewId="0">
      <selection sqref="A1:B13"/>
    </sheetView>
  </sheetViews>
  <sheetFormatPr defaultRowHeight="15.75"/>
  <cols>
    <col min="3" max="3" width="16.125" customWidth="1"/>
    <col min="4" max="4" width="7.75" bestFit="1" customWidth="1"/>
    <col min="5" max="5" width="13.5" bestFit="1" customWidth="1"/>
    <col min="6" max="6" width="21.375" bestFit="1" customWidth="1"/>
    <col min="7" max="7" width="23.875" bestFit="1" customWidth="1"/>
  </cols>
  <sheetData>
    <row r="1" spans="1:11">
      <c r="A1" s="1" t="s">
        <v>39</v>
      </c>
      <c r="B1" s="2" t="s">
        <v>40</v>
      </c>
      <c r="C1" s="2" t="s">
        <v>42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>
      <c r="A2" s="3" t="s">
        <v>26</v>
      </c>
      <c r="B2" s="4">
        <v>1213</v>
      </c>
      <c r="C2" t="e">
        <v>#N/A</v>
      </c>
    </row>
    <row r="3" spans="1:11">
      <c r="A3" s="3" t="s">
        <v>27</v>
      </c>
      <c r="B3" s="4">
        <v>1148</v>
      </c>
      <c r="C3">
        <f>B2</f>
        <v>1213</v>
      </c>
      <c r="D3">
        <f>B3-C3</f>
        <v>-65</v>
      </c>
      <c r="E3" s="28">
        <f>ABS(D3)</f>
        <v>65</v>
      </c>
      <c r="F3" s="23">
        <f>E3^2</f>
        <v>4225</v>
      </c>
      <c r="G3" s="30">
        <f>E3/B3</f>
        <v>5.6620209059233449E-2</v>
      </c>
    </row>
    <row r="4" spans="1:11">
      <c r="A4" s="3" t="s">
        <v>28</v>
      </c>
      <c r="B4" s="4">
        <v>1218</v>
      </c>
      <c r="C4">
        <f t="shared" ref="C4:C13" si="0">0.7*B3+0.3*C3</f>
        <v>1167.5</v>
      </c>
      <c r="D4">
        <f t="shared" ref="D4:D13" si="1">B4-C4</f>
        <v>50.5</v>
      </c>
      <c r="E4" s="28">
        <f t="shared" ref="E4:E13" si="2">ABS(D4)</f>
        <v>50.5</v>
      </c>
      <c r="F4" s="23">
        <f t="shared" ref="F4:F13" si="3">E4^2</f>
        <v>2550.25</v>
      </c>
      <c r="G4" s="30">
        <f t="shared" ref="G4:G13" si="4">E4/B4</f>
        <v>4.1461412151067321E-2</v>
      </c>
      <c r="J4" s="6" t="s">
        <v>7</v>
      </c>
      <c r="K4" s="7">
        <f>AVERAGE(E3:E13)</f>
        <v>49.659041625772694</v>
      </c>
    </row>
    <row r="5" spans="1:11">
      <c r="A5" s="3" t="s">
        <v>29</v>
      </c>
      <c r="B5" s="4">
        <v>1195</v>
      </c>
      <c r="C5">
        <f t="shared" si="0"/>
        <v>1202.8499999999999</v>
      </c>
      <c r="D5">
        <f t="shared" si="1"/>
        <v>-7.8499999999999091</v>
      </c>
      <c r="E5" s="28">
        <f t="shared" si="2"/>
        <v>7.8499999999999091</v>
      </c>
      <c r="F5" s="23">
        <f t="shared" si="3"/>
        <v>61.622499999998574</v>
      </c>
      <c r="G5" s="30">
        <f t="shared" si="4"/>
        <v>6.5690376569036892E-3</v>
      </c>
      <c r="J5" s="2" t="s">
        <v>8</v>
      </c>
      <c r="K5" s="8">
        <f>AVERAGE(F3:F13)</f>
        <v>3639.8311150115201</v>
      </c>
    </row>
    <row r="6" spans="1:11">
      <c r="A6" s="3" t="s">
        <v>30</v>
      </c>
      <c r="B6" s="4">
        <v>1208</v>
      </c>
      <c r="C6">
        <f t="shared" si="0"/>
        <v>1197.355</v>
      </c>
      <c r="D6">
        <f t="shared" si="1"/>
        <v>10.644999999999982</v>
      </c>
      <c r="E6" s="28">
        <f t="shared" si="2"/>
        <v>10.644999999999982</v>
      </c>
      <c r="F6" s="23">
        <f t="shared" si="3"/>
        <v>113.31602499999961</v>
      </c>
      <c r="G6" s="30">
        <f t="shared" si="4"/>
        <v>8.8120860927152159E-3</v>
      </c>
      <c r="J6" s="2" t="s">
        <v>9</v>
      </c>
      <c r="K6" s="21">
        <f>AVERAGE(G3:G13)</f>
        <v>3.7877214641242135E-2</v>
      </c>
    </row>
    <row r="7" spans="1:11" ht="16.5" thickBot="1">
      <c r="A7" s="3" t="s">
        <v>31</v>
      </c>
      <c r="B7" s="4">
        <v>1212</v>
      </c>
      <c r="C7">
        <f t="shared" si="0"/>
        <v>1204.8064999999999</v>
      </c>
      <c r="D7">
        <f t="shared" si="1"/>
        <v>7.1935000000000855</v>
      </c>
      <c r="E7" s="28">
        <f t="shared" si="2"/>
        <v>7.1935000000000855</v>
      </c>
      <c r="F7" s="23">
        <f t="shared" si="3"/>
        <v>51.74644225000123</v>
      </c>
      <c r="G7" s="30">
        <f t="shared" si="4"/>
        <v>5.9352310231023811E-3</v>
      </c>
      <c r="J7" s="9" t="s">
        <v>10</v>
      </c>
      <c r="K7" s="26">
        <f>100% -K6</f>
        <v>0.96212278535875784</v>
      </c>
    </row>
    <row r="8" spans="1:11" ht="16.5" thickTop="1">
      <c r="A8" s="3" t="s">
        <v>32</v>
      </c>
      <c r="B8" s="4">
        <v>1300</v>
      </c>
      <c r="C8">
        <f t="shared" si="0"/>
        <v>1209.84195</v>
      </c>
      <c r="D8">
        <f t="shared" si="1"/>
        <v>90.158050000000003</v>
      </c>
      <c r="E8" s="28">
        <f t="shared" si="2"/>
        <v>90.158050000000003</v>
      </c>
      <c r="F8" s="23">
        <f t="shared" si="3"/>
        <v>8128.4739798025003</v>
      </c>
      <c r="G8" s="30">
        <f t="shared" si="4"/>
        <v>6.9352346153846153E-2</v>
      </c>
    </row>
    <row r="9" spans="1:11">
      <c r="A9" s="3" t="s">
        <v>33</v>
      </c>
      <c r="B9" s="4">
        <v>1351</v>
      </c>
      <c r="C9">
        <f t="shared" si="0"/>
        <v>1272.952585</v>
      </c>
      <c r="D9">
        <f t="shared" si="1"/>
        <v>78.047415000000001</v>
      </c>
      <c r="E9" s="28">
        <f t="shared" si="2"/>
        <v>78.047415000000001</v>
      </c>
      <c r="F9" s="23">
        <f t="shared" si="3"/>
        <v>6091.3989881822254</v>
      </c>
      <c r="G9" s="30">
        <f t="shared" si="4"/>
        <v>5.7770107327905253E-2</v>
      </c>
    </row>
    <row r="10" spans="1:11">
      <c r="A10" s="3" t="s">
        <v>34</v>
      </c>
      <c r="B10" s="4">
        <v>1446</v>
      </c>
      <c r="C10">
        <f t="shared" si="0"/>
        <v>1327.5857755</v>
      </c>
      <c r="D10">
        <f t="shared" si="1"/>
        <v>118.41422450000005</v>
      </c>
      <c r="E10" s="28">
        <f t="shared" si="2"/>
        <v>118.41422450000005</v>
      </c>
      <c r="F10" s="23">
        <f t="shared" si="3"/>
        <v>14021.928563936412</v>
      </c>
      <c r="G10" s="30">
        <f t="shared" si="4"/>
        <v>8.1890888312586479E-2</v>
      </c>
    </row>
    <row r="11" spans="1:11">
      <c r="A11" s="3" t="s">
        <v>35</v>
      </c>
      <c r="B11" s="4">
        <v>1368</v>
      </c>
      <c r="C11">
        <f t="shared" si="0"/>
        <v>1410.4757326499998</v>
      </c>
      <c r="D11">
        <f t="shared" si="1"/>
        <v>-42.475732649999827</v>
      </c>
      <c r="E11" s="28">
        <f t="shared" si="2"/>
        <v>42.475732649999827</v>
      </c>
      <c r="F11" s="23">
        <f t="shared" si="3"/>
        <v>1804.1878641542614</v>
      </c>
      <c r="G11" s="30">
        <f t="shared" si="4"/>
        <v>3.1049512171052507E-2</v>
      </c>
    </row>
    <row r="12" spans="1:11">
      <c r="A12" s="3" t="s">
        <v>36</v>
      </c>
      <c r="B12" s="4">
        <v>1350</v>
      </c>
      <c r="C12">
        <f t="shared" si="0"/>
        <v>1380.7427197949999</v>
      </c>
      <c r="D12">
        <f t="shared" si="1"/>
        <v>-30.742719794999857</v>
      </c>
      <c r="E12" s="28">
        <f t="shared" si="2"/>
        <v>30.742719794999857</v>
      </c>
      <c r="F12" s="23">
        <f t="shared" si="3"/>
        <v>945.11482039387602</v>
      </c>
      <c r="G12" s="30">
        <f t="shared" si="4"/>
        <v>2.2772385033333228E-2</v>
      </c>
    </row>
    <row r="13" spans="1:11">
      <c r="A13" s="3" t="s">
        <v>37</v>
      </c>
      <c r="B13" s="4">
        <v>1314</v>
      </c>
      <c r="C13">
        <f t="shared" si="0"/>
        <v>1359.2228159384999</v>
      </c>
      <c r="D13">
        <f t="shared" si="1"/>
        <v>-45.222815938499934</v>
      </c>
      <c r="E13" s="28">
        <f t="shared" si="2"/>
        <v>45.222815938499934</v>
      </c>
      <c r="F13" s="23">
        <f t="shared" si="3"/>
        <v>2045.1030814074436</v>
      </c>
      <c r="G13" s="30">
        <f t="shared" si="4"/>
        <v>3.4416146071917758E-2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2838-6D22-480F-9961-4853C4335E7F}">
  <dimension ref="A1:L13"/>
  <sheetViews>
    <sheetView workbookViewId="0">
      <selection activeCell="K5" sqref="K5"/>
    </sheetView>
  </sheetViews>
  <sheetFormatPr defaultRowHeight="15.75"/>
  <cols>
    <col min="4" max="4" width="13.625" bestFit="1" customWidth="1"/>
    <col min="6" max="6" width="13.5" bestFit="1" customWidth="1"/>
    <col min="7" max="7" width="21.375" bestFit="1" customWidth="1"/>
    <col min="8" max="8" width="23.875" bestFit="1" customWidth="1"/>
  </cols>
  <sheetData>
    <row r="1" spans="1:12">
      <c r="A1" s="31" t="s">
        <v>15</v>
      </c>
      <c r="B1" s="1" t="s">
        <v>39</v>
      </c>
      <c r="C1" s="2" t="s">
        <v>40</v>
      </c>
      <c r="D1" s="11" t="s">
        <v>16</v>
      </c>
      <c r="E1" s="12" t="s">
        <v>14</v>
      </c>
      <c r="F1" s="2" t="s">
        <v>4</v>
      </c>
      <c r="G1" s="2" t="s">
        <v>5</v>
      </c>
      <c r="H1" s="2" t="s">
        <v>6</v>
      </c>
    </row>
    <row r="2" spans="1:12">
      <c r="A2">
        <v>1</v>
      </c>
      <c r="B2" s="3" t="s">
        <v>26</v>
      </c>
      <c r="C2" s="4">
        <v>1213</v>
      </c>
      <c r="D2" s="29">
        <f>_xlfn.FORECAST.LINEAR(A2,$C$2:$C$13,$A$2:$A$13)</f>
        <v>1166.3205128205129</v>
      </c>
      <c r="E2" s="29">
        <f>C2-D2</f>
        <v>46.679487179487069</v>
      </c>
      <c r="F2" s="29">
        <f>ABS(E2)</f>
        <v>46.679487179487069</v>
      </c>
      <c r="G2" s="29">
        <f>F2^2</f>
        <v>2178.9745233398976</v>
      </c>
      <c r="H2" s="30">
        <f>F2/C2</f>
        <v>3.8482676982264687E-2</v>
      </c>
    </row>
    <row r="3" spans="1:12">
      <c r="A3">
        <v>2</v>
      </c>
      <c r="B3" s="3" t="s">
        <v>27</v>
      </c>
      <c r="C3" s="4">
        <v>1148</v>
      </c>
      <c r="D3" s="29">
        <f t="shared" ref="D3:D13" si="0">_xlfn.FORECAST.LINEAR(A3,$C$2:$C$13,$A$2:$A$13)</f>
        <v>1186.4289044289044</v>
      </c>
      <c r="E3" s="29">
        <f t="shared" ref="E3:E13" si="1">C3-D3</f>
        <v>-38.428904428904389</v>
      </c>
      <c r="F3" s="29">
        <f t="shared" ref="F3:F13" si="2">ABS(E3)</f>
        <v>38.428904428904389</v>
      </c>
      <c r="G3" s="29">
        <f t="shared" ref="G3:G13" si="3">F3^2</f>
        <v>1476.7806956058673</v>
      </c>
      <c r="H3" s="30">
        <f t="shared" ref="H3:H13" si="4">F3/C3</f>
        <v>3.3474655425874904E-2</v>
      </c>
    </row>
    <row r="4" spans="1:12">
      <c r="A4">
        <v>3</v>
      </c>
      <c r="B4" s="3" t="s">
        <v>28</v>
      </c>
      <c r="C4" s="4">
        <v>1218</v>
      </c>
      <c r="D4" s="29">
        <f t="shared" si="0"/>
        <v>1206.5372960372961</v>
      </c>
      <c r="E4" s="29">
        <f t="shared" si="1"/>
        <v>11.462703962703927</v>
      </c>
      <c r="F4" s="29">
        <f t="shared" si="2"/>
        <v>11.462703962703927</v>
      </c>
      <c r="G4" s="29">
        <f t="shared" si="3"/>
        <v>131.39358213658829</v>
      </c>
      <c r="H4" s="30">
        <f t="shared" si="4"/>
        <v>9.4110869972938646E-3</v>
      </c>
    </row>
    <row r="5" spans="1:12">
      <c r="A5">
        <v>4</v>
      </c>
      <c r="B5" s="3" t="s">
        <v>29</v>
      </c>
      <c r="C5" s="4">
        <v>1195</v>
      </c>
      <c r="D5" s="29">
        <f t="shared" si="0"/>
        <v>1226.6456876456878</v>
      </c>
      <c r="E5" s="29">
        <f t="shared" si="1"/>
        <v>-31.645687645687758</v>
      </c>
      <c r="F5" s="29">
        <f t="shared" si="2"/>
        <v>31.645687645687758</v>
      </c>
      <c r="G5" s="29">
        <f t="shared" si="3"/>
        <v>1001.4495465684348</v>
      </c>
      <c r="H5" s="30">
        <f t="shared" si="4"/>
        <v>2.6481746983839129E-2</v>
      </c>
      <c r="K5" s="6" t="s">
        <v>7</v>
      </c>
      <c r="L5" s="7">
        <f>AVERAGE(F2:F13)</f>
        <v>42.434731934731907</v>
      </c>
    </row>
    <row r="6" spans="1:12">
      <c r="A6">
        <v>5</v>
      </c>
      <c r="B6" s="3" t="s">
        <v>30</v>
      </c>
      <c r="C6" s="4">
        <v>1208</v>
      </c>
      <c r="D6" s="29">
        <f t="shared" si="0"/>
        <v>1246.7540792540792</v>
      </c>
      <c r="E6" s="29">
        <f t="shared" si="1"/>
        <v>-38.754079254079215</v>
      </c>
      <c r="F6" s="29">
        <f t="shared" si="2"/>
        <v>38.754079254079215</v>
      </c>
      <c r="G6" s="29">
        <f t="shared" si="3"/>
        <v>1501.8786588314531</v>
      </c>
      <c r="H6" s="30">
        <f t="shared" si="4"/>
        <v>3.2081191435496037E-2</v>
      </c>
      <c r="K6" s="2" t="s">
        <v>8</v>
      </c>
      <c r="L6" s="8">
        <f>AVERAGE(G2:G13)</f>
        <v>2637.6030497280485</v>
      </c>
    </row>
    <row r="7" spans="1:12">
      <c r="A7">
        <v>6</v>
      </c>
      <c r="B7" s="3" t="s">
        <v>31</v>
      </c>
      <c r="C7" s="4">
        <v>1212</v>
      </c>
      <c r="D7" s="29">
        <f t="shared" si="0"/>
        <v>1266.8624708624709</v>
      </c>
      <c r="E7" s="29">
        <f t="shared" si="1"/>
        <v>-54.8624708624709</v>
      </c>
      <c r="F7" s="29">
        <f t="shared" si="2"/>
        <v>54.8624708624709</v>
      </c>
      <c r="G7" s="29">
        <f t="shared" si="3"/>
        <v>3009.8907091354686</v>
      </c>
      <c r="H7" s="30">
        <f t="shared" si="4"/>
        <v>4.52660650680453E-2</v>
      </c>
      <c r="K7" s="2" t="s">
        <v>9</v>
      </c>
      <c r="L7" s="21">
        <f>AVERAGE(H2:H13)</f>
        <v>3.2822361348198423E-2</v>
      </c>
    </row>
    <row r="8" spans="1:12" ht="16.5" thickBot="1">
      <c r="A8">
        <v>7</v>
      </c>
      <c r="B8" s="3" t="s">
        <v>32</v>
      </c>
      <c r="C8" s="4">
        <v>1300</v>
      </c>
      <c r="D8" s="29">
        <f t="shared" si="0"/>
        <v>1286.9708624708626</v>
      </c>
      <c r="E8" s="29">
        <f t="shared" si="1"/>
        <v>13.029137529137415</v>
      </c>
      <c r="F8" s="29">
        <f t="shared" si="2"/>
        <v>13.029137529137415</v>
      </c>
      <c r="G8" s="29">
        <f t="shared" si="3"/>
        <v>169.75842475317702</v>
      </c>
      <c r="H8" s="30">
        <f t="shared" si="4"/>
        <v>1.0022413483951859E-2</v>
      </c>
      <c r="K8" s="14" t="s">
        <v>10</v>
      </c>
      <c r="L8" s="27">
        <f>100%-L7</f>
        <v>0.96717763865180162</v>
      </c>
    </row>
    <row r="9" spans="1:12">
      <c r="A9">
        <v>8</v>
      </c>
      <c r="B9" s="3" t="s">
        <v>33</v>
      </c>
      <c r="C9" s="4">
        <v>1351</v>
      </c>
      <c r="D9" s="29">
        <f t="shared" si="0"/>
        <v>1307.079254079254</v>
      </c>
      <c r="E9" s="29">
        <f t="shared" si="1"/>
        <v>43.920745920745958</v>
      </c>
      <c r="F9" s="29">
        <f t="shared" si="2"/>
        <v>43.920745920745958</v>
      </c>
      <c r="G9" s="29">
        <f t="shared" si="3"/>
        <v>1929.0319222347227</v>
      </c>
      <c r="H9" s="30">
        <f t="shared" si="4"/>
        <v>3.250980453052995E-2</v>
      </c>
    </row>
    <row r="10" spans="1:12">
      <c r="A10">
        <v>9</v>
      </c>
      <c r="B10" s="3" t="s">
        <v>34</v>
      </c>
      <c r="C10" s="4">
        <v>1446</v>
      </c>
      <c r="D10" s="29">
        <f t="shared" si="0"/>
        <v>1327.1876456876457</v>
      </c>
      <c r="E10" s="29">
        <f t="shared" si="1"/>
        <v>118.81235431235427</v>
      </c>
      <c r="F10" s="29">
        <f t="shared" si="2"/>
        <v>118.81235431235427</v>
      </c>
      <c r="G10" s="29">
        <f t="shared" si="3"/>
        <v>14116.375537244408</v>
      </c>
      <c r="H10" s="30">
        <f t="shared" si="4"/>
        <v>8.2166220133025089E-2</v>
      </c>
    </row>
    <row r="11" spans="1:12">
      <c r="A11">
        <v>10</v>
      </c>
      <c r="B11" s="3" t="s">
        <v>35</v>
      </c>
      <c r="C11" s="4">
        <v>1368</v>
      </c>
      <c r="D11" s="29">
        <f t="shared" si="0"/>
        <v>1347.2960372960374</v>
      </c>
      <c r="E11" s="29">
        <f t="shared" si="1"/>
        <v>20.703962703962588</v>
      </c>
      <c r="F11" s="29">
        <f t="shared" si="2"/>
        <v>20.703962703962588</v>
      </c>
      <c r="G11" s="29">
        <f t="shared" si="3"/>
        <v>428.65407164707386</v>
      </c>
      <c r="H11" s="30">
        <f t="shared" si="4"/>
        <v>1.5134475660791366E-2</v>
      </c>
    </row>
    <row r="12" spans="1:12">
      <c r="A12">
        <v>11</v>
      </c>
      <c r="B12" s="3" t="s">
        <v>36</v>
      </c>
      <c r="C12" s="4">
        <v>1350</v>
      </c>
      <c r="D12" s="29">
        <f t="shared" si="0"/>
        <v>1367.4044289044289</v>
      </c>
      <c r="E12" s="29">
        <f t="shared" si="1"/>
        <v>-17.404428904428869</v>
      </c>
      <c r="F12" s="29">
        <f t="shared" si="2"/>
        <v>17.404428904428869</v>
      </c>
      <c r="G12" s="29">
        <f t="shared" si="3"/>
        <v>302.91414548931908</v>
      </c>
      <c r="H12" s="30">
        <f t="shared" si="4"/>
        <v>1.28921695588362E-2</v>
      </c>
    </row>
    <row r="13" spans="1:12">
      <c r="A13">
        <v>12</v>
      </c>
      <c r="B13" s="3" t="s">
        <v>37</v>
      </c>
      <c r="C13" s="4">
        <v>1314</v>
      </c>
      <c r="D13" s="29">
        <f t="shared" si="0"/>
        <v>1387.5128205128206</v>
      </c>
      <c r="E13" s="29">
        <f t="shared" si="1"/>
        <v>-73.512820512820554</v>
      </c>
      <c r="F13" s="29">
        <f t="shared" si="2"/>
        <v>73.512820512820554</v>
      </c>
      <c r="G13" s="29">
        <f t="shared" si="3"/>
        <v>5404.1347797501703</v>
      </c>
      <c r="H13" s="30">
        <f t="shared" si="4"/>
        <v>5.5945829918432687E-2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0147-2A0F-4A75-8B6E-F065907598D7}">
  <dimension ref="A1:T18"/>
  <sheetViews>
    <sheetView workbookViewId="0">
      <selection activeCell="K9" sqref="K9"/>
    </sheetView>
  </sheetViews>
  <sheetFormatPr defaultRowHeight="15.75"/>
  <cols>
    <col min="4" max="4" width="11.5" bestFit="1" customWidth="1"/>
    <col min="5" max="5" width="23.625" bestFit="1" customWidth="1"/>
    <col min="7" max="7" width="13.5" bestFit="1" customWidth="1"/>
    <col min="8" max="8" width="21.375" bestFit="1" customWidth="1"/>
    <col min="9" max="9" width="23.875" bestFit="1" customWidth="1"/>
    <col min="10" max="10" width="11.125" bestFit="1" customWidth="1"/>
    <col min="18" max="18" width="15.875" bestFit="1" customWidth="1"/>
    <col min="19" max="19" width="14.625" bestFit="1" customWidth="1"/>
    <col min="20" max="20" width="14.875" bestFit="1" customWidth="1"/>
  </cols>
  <sheetData>
    <row r="1" spans="1:20">
      <c r="A1" s="31" t="s">
        <v>15</v>
      </c>
      <c r="B1" s="1" t="s">
        <v>39</v>
      </c>
      <c r="C1" s="2" t="s">
        <v>40</v>
      </c>
      <c r="D1" s="2" t="s">
        <v>18</v>
      </c>
      <c r="E1" s="2" t="s">
        <v>19</v>
      </c>
      <c r="F1" s="12" t="s">
        <v>14</v>
      </c>
      <c r="G1" s="2" t="s">
        <v>4</v>
      </c>
      <c r="H1" s="2" t="s">
        <v>5</v>
      </c>
      <c r="I1" s="2" t="s">
        <v>6</v>
      </c>
      <c r="J1" s="2" t="s">
        <v>38</v>
      </c>
    </row>
    <row r="2" spans="1:20">
      <c r="A2">
        <v>1</v>
      </c>
      <c r="B2" s="3" t="s">
        <v>26</v>
      </c>
      <c r="C2" s="4">
        <v>1213</v>
      </c>
      <c r="D2" s="29">
        <f>$N$2+($N$3*A2)</f>
        <v>1166.3205128205129</v>
      </c>
      <c r="E2" s="29">
        <f>D2*J2</f>
        <v>1107.9397888543617</v>
      </c>
      <c r="F2" s="29">
        <f>C2-E2</f>
        <v>105.06021114563828</v>
      </c>
      <c r="G2" s="29">
        <f>ABS(F2)</f>
        <v>105.06021114563828</v>
      </c>
      <c r="H2" s="29">
        <f>G2^2</f>
        <v>11037.647965966098</v>
      </c>
      <c r="I2" s="30">
        <f>G2/C2</f>
        <v>8.6611880581729819E-2</v>
      </c>
      <c r="J2" s="29">
        <f>VLOOKUP(B2,$Q$3:$T$15,4,FALSE)</f>
        <v>0.94994452783397498</v>
      </c>
      <c r="M2" s="15" t="s">
        <v>20</v>
      </c>
      <c r="N2" s="7">
        <f>INTERCEPT(C2:C13,A2:A13)</f>
        <v>1146.2121212121212</v>
      </c>
      <c r="R2" s="17" t="s">
        <v>22</v>
      </c>
    </row>
    <row r="3" spans="1:20" ht="16.5" thickBot="1">
      <c r="A3">
        <v>2</v>
      </c>
      <c r="B3" s="3" t="s">
        <v>27</v>
      </c>
      <c r="C3" s="4">
        <v>1148</v>
      </c>
      <c r="D3" s="29">
        <f t="shared" ref="D3:D13" si="0">$N$2+($N$3*A3)</f>
        <v>1186.4289044289044</v>
      </c>
      <c r="E3" s="29">
        <f t="shared" ref="E3:E13" si="1">D3*J3</f>
        <v>1066.6478227117786</v>
      </c>
      <c r="F3" s="29">
        <f t="shared" ref="F3:F13" si="2">C3-E3</f>
        <v>81.352177288221355</v>
      </c>
      <c r="G3" s="29">
        <f t="shared" ref="G3:G13" si="3">ABS(F3)</f>
        <v>81.352177288221355</v>
      </c>
      <c r="H3" s="29">
        <f t="shared" ref="H3:H13" si="4">G3^2</f>
        <v>6618.1767495341983</v>
      </c>
      <c r="I3" s="30">
        <f t="shared" ref="I3:I13" si="5">G3/C3</f>
        <v>7.0864265930506404E-2</v>
      </c>
      <c r="J3" s="29">
        <f t="shared" ref="J3:J13" si="6">VLOOKUP(B3,$Q$3:$T$15,4,FALSE)</f>
        <v>0.89904065783462761</v>
      </c>
      <c r="M3" s="16" t="s">
        <v>21</v>
      </c>
      <c r="N3" s="32">
        <f>SLOPE(C2:C13,A2:A13)</f>
        <v>20.10839160839161</v>
      </c>
      <c r="Q3" s="6" t="s">
        <v>17</v>
      </c>
      <c r="R3" s="6" t="s">
        <v>23</v>
      </c>
      <c r="S3" s="6" t="s">
        <v>24</v>
      </c>
      <c r="T3" s="6" t="s">
        <v>25</v>
      </c>
    </row>
    <row r="4" spans="1:20">
      <c r="A4">
        <v>3</v>
      </c>
      <c r="B4" s="3" t="s">
        <v>28</v>
      </c>
      <c r="C4" s="4">
        <v>1218</v>
      </c>
      <c r="D4" s="29">
        <f t="shared" si="0"/>
        <v>1206.5372960372961</v>
      </c>
      <c r="E4" s="29">
        <f t="shared" si="1"/>
        <v>1150.8679187418338</v>
      </c>
      <c r="F4" s="29">
        <f t="shared" si="2"/>
        <v>67.132081258166181</v>
      </c>
      <c r="G4" s="29">
        <f t="shared" si="3"/>
        <v>67.132081258166181</v>
      </c>
      <c r="H4" s="29">
        <f t="shared" si="4"/>
        <v>4506.7163340530269</v>
      </c>
      <c r="I4" s="30">
        <f t="shared" si="5"/>
        <v>5.5116651279282579E-2</v>
      </c>
      <c r="J4" s="29">
        <f t="shared" si="6"/>
        <v>0.95386021014161715</v>
      </c>
      <c r="Q4" s="18" t="s">
        <v>26</v>
      </c>
      <c r="R4" s="13">
        <f>AVERAGEIF($B$2:$B$13,Q4,$C$2:$C$13)</f>
        <v>1213</v>
      </c>
      <c r="S4" s="13">
        <f>AVERAGE($C$2:C13)</f>
        <v>1276.9166666666667</v>
      </c>
      <c r="T4" s="8">
        <f t="shared" ref="T4:T15" si="7">R4/S4</f>
        <v>0.94994452783397498</v>
      </c>
    </row>
    <row r="5" spans="1:20">
      <c r="A5">
        <v>4</v>
      </c>
      <c r="B5" s="3" t="s">
        <v>29</v>
      </c>
      <c r="C5" s="4">
        <v>1195</v>
      </c>
      <c r="D5" s="29">
        <f t="shared" si="0"/>
        <v>1226.6456876456878</v>
      </c>
      <c r="E5" s="29">
        <f t="shared" si="1"/>
        <v>1147.9540012294694</v>
      </c>
      <c r="F5" s="29">
        <f t="shared" si="2"/>
        <v>47.045998770530559</v>
      </c>
      <c r="G5" s="29">
        <f t="shared" si="3"/>
        <v>47.045998770530559</v>
      </c>
      <c r="H5" s="29">
        <f t="shared" si="4"/>
        <v>2213.3260003167629</v>
      </c>
      <c r="I5" s="30">
        <f t="shared" si="5"/>
        <v>3.9369036628059045E-2</v>
      </c>
      <c r="J5" s="29">
        <f t="shared" si="6"/>
        <v>0.93584807152646343</v>
      </c>
      <c r="Q5" s="18" t="s">
        <v>27</v>
      </c>
      <c r="R5" s="13">
        <f t="shared" ref="R5:R15" si="8">AVERAGEIF($B$2:$B$13,Q5,$C$2:$C$13)</f>
        <v>1148</v>
      </c>
      <c r="S5" s="13">
        <f>AVERAGE($C$2:C14)</f>
        <v>1276.9166666666667</v>
      </c>
      <c r="T5" s="8">
        <f t="shared" si="7"/>
        <v>0.89904065783462761</v>
      </c>
    </row>
    <row r="6" spans="1:20">
      <c r="A6">
        <v>5</v>
      </c>
      <c r="B6" s="3" t="s">
        <v>30</v>
      </c>
      <c r="C6" s="4">
        <v>1208</v>
      </c>
      <c r="D6" s="29">
        <f t="shared" si="0"/>
        <v>1246.7540792540792</v>
      </c>
      <c r="E6" s="29">
        <f t="shared" si="1"/>
        <v>1179.4653222519828</v>
      </c>
      <c r="F6" s="29">
        <f t="shared" si="2"/>
        <v>28.534677748017202</v>
      </c>
      <c r="G6" s="29">
        <f t="shared" si="3"/>
        <v>28.534677748017202</v>
      </c>
      <c r="H6" s="29">
        <f t="shared" si="4"/>
        <v>814.22783418318807</v>
      </c>
      <c r="I6" s="30">
        <f t="shared" si="5"/>
        <v>2.3621421976835432E-2</v>
      </c>
      <c r="J6" s="29">
        <f t="shared" si="6"/>
        <v>0.94602884552633293</v>
      </c>
      <c r="Q6" s="18" t="s">
        <v>28</v>
      </c>
      <c r="R6" s="13">
        <f t="shared" si="8"/>
        <v>1218</v>
      </c>
      <c r="S6" s="13">
        <f>AVERAGE($C$2:C15)</f>
        <v>1276.9166666666667</v>
      </c>
      <c r="T6" s="8">
        <f t="shared" si="7"/>
        <v>0.95386021014161715</v>
      </c>
    </row>
    <row r="7" spans="1:20">
      <c r="A7">
        <v>6</v>
      </c>
      <c r="B7" s="3" t="s">
        <v>31</v>
      </c>
      <c r="C7" s="4">
        <v>1212</v>
      </c>
      <c r="D7" s="29">
        <f t="shared" si="0"/>
        <v>1266.8624708624709</v>
      </c>
      <c r="E7" s="29">
        <f t="shared" si="1"/>
        <v>1202.4569455213584</v>
      </c>
      <c r="F7" s="29">
        <f t="shared" si="2"/>
        <v>9.5430544786415794</v>
      </c>
      <c r="G7" s="29">
        <f t="shared" si="3"/>
        <v>9.5430544786415794</v>
      </c>
      <c r="H7" s="29">
        <f t="shared" si="4"/>
        <v>91.069888782321101</v>
      </c>
      <c r="I7" s="30">
        <f t="shared" si="5"/>
        <v>7.8738073256118639E-3</v>
      </c>
      <c r="J7" s="29">
        <f t="shared" si="6"/>
        <v>0.94916139137244659</v>
      </c>
      <c r="Q7" s="18" t="s">
        <v>29</v>
      </c>
      <c r="R7" s="13">
        <f t="shared" si="8"/>
        <v>1195</v>
      </c>
      <c r="S7" s="13">
        <f>AVERAGE($C$2:C16)</f>
        <v>1276.9166666666667</v>
      </c>
      <c r="T7" s="8">
        <f t="shared" si="7"/>
        <v>0.93584807152646343</v>
      </c>
    </row>
    <row r="8" spans="1:20">
      <c r="A8">
        <v>7</v>
      </c>
      <c r="B8" s="3" t="s">
        <v>32</v>
      </c>
      <c r="C8" s="4">
        <v>1300</v>
      </c>
      <c r="D8" s="29">
        <f t="shared" si="0"/>
        <v>1286.9708624708626</v>
      </c>
      <c r="E8" s="29">
        <f t="shared" si="1"/>
        <v>1310.2359495232954</v>
      </c>
      <c r="F8" s="29">
        <f t="shared" si="2"/>
        <v>-10.235949523295403</v>
      </c>
      <c r="G8" s="29">
        <f t="shared" si="3"/>
        <v>10.235949523295403</v>
      </c>
      <c r="H8" s="29">
        <f t="shared" si="4"/>
        <v>104.77466264345139</v>
      </c>
      <c r="I8" s="30">
        <f t="shared" si="5"/>
        <v>7.8738073256118483E-3</v>
      </c>
      <c r="J8" s="29">
        <f t="shared" si="6"/>
        <v>1.0180773999869477</v>
      </c>
      <c r="Q8" s="18" t="s">
        <v>30</v>
      </c>
      <c r="R8" s="13">
        <f t="shared" si="8"/>
        <v>1208</v>
      </c>
      <c r="S8" s="13">
        <f>AVERAGE($C$2:C17)</f>
        <v>1276.9166666666667</v>
      </c>
      <c r="T8" s="8">
        <f t="shared" si="7"/>
        <v>0.94602884552633293</v>
      </c>
    </row>
    <row r="9" spans="1:20">
      <c r="A9">
        <v>8</v>
      </c>
      <c r="B9" s="3" t="s">
        <v>33</v>
      </c>
      <c r="C9" s="4">
        <v>1351</v>
      </c>
      <c r="D9" s="29">
        <f t="shared" si="0"/>
        <v>1307.079254079254</v>
      </c>
      <c r="E9" s="29">
        <f t="shared" si="1"/>
        <v>1382.9125410907045</v>
      </c>
      <c r="F9" s="29">
        <f t="shared" si="2"/>
        <v>-31.912541090704508</v>
      </c>
      <c r="G9" s="29">
        <f t="shared" si="3"/>
        <v>31.912541090704508</v>
      </c>
      <c r="H9" s="29">
        <f t="shared" si="4"/>
        <v>1018.4102788659037</v>
      </c>
      <c r="I9" s="30">
        <f t="shared" si="5"/>
        <v>2.3621421976835314E-2</v>
      </c>
      <c r="J9" s="29">
        <f t="shared" si="6"/>
        <v>1.0580173595248972</v>
      </c>
      <c r="Q9" s="18" t="s">
        <v>31</v>
      </c>
      <c r="R9" s="13">
        <f t="shared" si="8"/>
        <v>1212</v>
      </c>
      <c r="S9" s="13">
        <f>AVERAGE($C$2:C18)</f>
        <v>1276.9166666666667</v>
      </c>
      <c r="T9" s="8">
        <f t="shared" si="7"/>
        <v>0.94916139137244659</v>
      </c>
    </row>
    <row r="10" spans="1:20">
      <c r="A10">
        <v>9</v>
      </c>
      <c r="B10" s="3" t="s">
        <v>34</v>
      </c>
      <c r="C10" s="4">
        <v>1446</v>
      </c>
      <c r="D10" s="29">
        <f t="shared" si="0"/>
        <v>1327.1876456876457</v>
      </c>
      <c r="E10" s="29">
        <f t="shared" si="1"/>
        <v>1502.9276269641732</v>
      </c>
      <c r="F10" s="29">
        <f t="shared" si="2"/>
        <v>-56.927626964173214</v>
      </c>
      <c r="G10" s="29">
        <f t="shared" si="3"/>
        <v>56.927626964173214</v>
      </c>
      <c r="H10" s="29">
        <f t="shared" si="4"/>
        <v>3240.754711772061</v>
      </c>
      <c r="I10" s="30">
        <f t="shared" si="5"/>
        <v>3.9369036628058934E-2</v>
      </c>
      <c r="J10" s="29">
        <f t="shared" si="6"/>
        <v>1.1324153233700971</v>
      </c>
      <c r="Q10" s="18" t="s">
        <v>32</v>
      </c>
      <c r="R10" s="13">
        <f t="shared" si="8"/>
        <v>1300</v>
      </c>
      <c r="S10" s="13">
        <f>AVERAGE($C$2:C19)</f>
        <v>1276.9166666666667</v>
      </c>
      <c r="T10" s="8">
        <f t="shared" si="7"/>
        <v>1.0180773999869477</v>
      </c>
    </row>
    <row r="11" spans="1:20">
      <c r="A11">
        <v>10</v>
      </c>
      <c r="B11" s="3" t="s">
        <v>35</v>
      </c>
      <c r="C11" s="4">
        <v>1368</v>
      </c>
      <c r="D11" s="29">
        <f t="shared" si="0"/>
        <v>1347.2960372960374</v>
      </c>
      <c r="E11" s="29">
        <f t="shared" si="1"/>
        <v>1443.3995789500586</v>
      </c>
      <c r="F11" s="29">
        <f t="shared" si="2"/>
        <v>-75.39957895005864</v>
      </c>
      <c r="G11" s="29">
        <f t="shared" si="3"/>
        <v>75.39957895005864</v>
      </c>
      <c r="H11" s="29">
        <f t="shared" si="4"/>
        <v>5685.0965058461261</v>
      </c>
      <c r="I11" s="30">
        <f t="shared" si="5"/>
        <v>5.5116651279282634E-2</v>
      </c>
      <c r="J11" s="29">
        <f t="shared" si="6"/>
        <v>1.0713306793708803</v>
      </c>
      <c r="Q11" s="18" t="s">
        <v>33</v>
      </c>
      <c r="R11" s="13">
        <f t="shared" si="8"/>
        <v>1351</v>
      </c>
      <c r="S11" s="13">
        <f>AVERAGE($C$2:C20)</f>
        <v>1276.9166666666667</v>
      </c>
      <c r="T11" s="8">
        <f t="shared" si="7"/>
        <v>1.0580173595248972</v>
      </c>
    </row>
    <row r="12" spans="1:20">
      <c r="A12">
        <v>11</v>
      </c>
      <c r="B12" s="3" t="s">
        <v>36</v>
      </c>
      <c r="C12" s="4">
        <v>1350</v>
      </c>
      <c r="D12" s="29">
        <f t="shared" si="0"/>
        <v>1367.4044289044289</v>
      </c>
      <c r="E12" s="29">
        <f t="shared" si="1"/>
        <v>1445.6667590061832</v>
      </c>
      <c r="F12" s="29">
        <f t="shared" si="2"/>
        <v>-95.666759006183156</v>
      </c>
      <c r="G12" s="29">
        <f t="shared" si="3"/>
        <v>95.666759006183156</v>
      </c>
      <c r="H12" s="29">
        <f t="shared" si="4"/>
        <v>9152.1287787471265</v>
      </c>
      <c r="I12" s="30">
        <f t="shared" si="5"/>
        <v>7.0864265930506043E-2</v>
      </c>
      <c r="J12" s="29">
        <f t="shared" si="6"/>
        <v>1.0572342230633687</v>
      </c>
      <c r="Q12" s="18" t="s">
        <v>34</v>
      </c>
      <c r="R12" s="13">
        <f t="shared" si="8"/>
        <v>1446</v>
      </c>
      <c r="S12" s="13">
        <f>AVERAGE($C$2:C21)</f>
        <v>1276.9166666666667</v>
      </c>
      <c r="T12" s="8">
        <f t="shared" si="7"/>
        <v>1.1324153233700971</v>
      </c>
    </row>
    <row r="13" spans="1:20">
      <c r="A13">
        <v>12</v>
      </c>
      <c r="B13" s="3" t="s">
        <v>37</v>
      </c>
      <c r="C13" s="4">
        <v>1314</v>
      </c>
      <c r="D13" s="29">
        <f t="shared" si="0"/>
        <v>1387.5128205128206</v>
      </c>
      <c r="E13" s="29">
        <f t="shared" si="1"/>
        <v>1427.808011084393</v>
      </c>
      <c r="F13" s="29">
        <f t="shared" si="2"/>
        <v>-113.808011084393</v>
      </c>
      <c r="G13" s="29">
        <f t="shared" si="3"/>
        <v>113.808011084393</v>
      </c>
      <c r="H13" s="29">
        <f t="shared" si="4"/>
        <v>12952.26338698532</v>
      </c>
      <c r="I13" s="30">
        <f t="shared" si="5"/>
        <v>8.6611880581729833E-2</v>
      </c>
      <c r="J13" s="29">
        <f t="shared" si="6"/>
        <v>1.0290413104483456</v>
      </c>
      <c r="Q13" s="18" t="s">
        <v>35</v>
      </c>
      <c r="R13" s="13">
        <f t="shared" si="8"/>
        <v>1368</v>
      </c>
      <c r="S13" s="13">
        <f>AVERAGE($C$2:C22)</f>
        <v>1276.9166666666667</v>
      </c>
      <c r="T13" s="8">
        <f t="shared" si="7"/>
        <v>1.0713306793708803</v>
      </c>
    </row>
    <row r="14" spans="1:20">
      <c r="Q14" s="18" t="s">
        <v>36</v>
      </c>
      <c r="R14" s="13">
        <f t="shared" si="8"/>
        <v>1350</v>
      </c>
      <c r="S14" s="13">
        <f>AVERAGE($C$2:C23)</f>
        <v>1276.9166666666667</v>
      </c>
      <c r="T14" s="8">
        <f t="shared" si="7"/>
        <v>1.0572342230633687</v>
      </c>
    </row>
    <row r="15" spans="1:20" ht="16.5" thickBot="1">
      <c r="A15" s="6" t="s">
        <v>7</v>
      </c>
      <c r="B15" s="7">
        <f>AVERAGE(G2:G13)</f>
        <v>60.218222275668587</v>
      </c>
      <c r="Q15" s="16" t="s">
        <v>37</v>
      </c>
      <c r="R15" s="13">
        <f t="shared" si="8"/>
        <v>1314</v>
      </c>
      <c r="S15" s="13">
        <f>AVERAGE($C$2:C24)</f>
        <v>1276.9166666666667</v>
      </c>
      <c r="T15" s="20">
        <f t="shared" si="7"/>
        <v>1.0290413104483456</v>
      </c>
    </row>
    <row r="16" spans="1:20">
      <c r="A16" s="2" t="s">
        <v>8</v>
      </c>
      <c r="B16" s="8">
        <f>AVERAGE(H2:H13)</f>
        <v>4786.2160914746319</v>
      </c>
    </row>
    <row r="17" spans="1:2">
      <c r="A17" s="2" t="s">
        <v>9</v>
      </c>
      <c r="B17" s="21">
        <f>AVERAGE(I1:I365)</f>
        <v>4.7242843953670816E-2</v>
      </c>
    </row>
    <row r="18" spans="1:2" ht="16.5" thickBot="1">
      <c r="A18" s="14" t="s">
        <v>10</v>
      </c>
      <c r="B18" s="27">
        <f>100%-B17</f>
        <v>0.95275715604632916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17C8-6F4E-4945-8077-46FC224240A1}">
  <dimension ref="A1:K8"/>
  <sheetViews>
    <sheetView tabSelected="1" workbookViewId="0">
      <selection activeCell="H6" sqref="H6"/>
    </sheetView>
  </sheetViews>
  <sheetFormatPr defaultRowHeight="15.75"/>
  <cols>
    <col min="1" max="1" width="19.625" bestFit="1" customWidth="1"/>
    <col min="10" max="10" width="19.625" bestFit="1" customWidth="1"/>
  </cols>
  <sheetData>
    <row r="1" spans="1:11">
      <c r="A1" s="35" t="s">
        <v>47</v>
      </c>
      <c r="B1" s="35"/>
      <c r="J1" s="35" t="s">
        <v>48</v>
      </c>
      <c r="K1" s="35"/>
    </row>
    <row r="3" spans="1:11">
      <c r="A3" s="34" t="s">
        <v>46</v>
      </c>
      <c r="B3" s="34" t="s">
        <v>10</v>
      </c>
      <c r="J3" s="34" t="s">
        <v>46</v>
      </c>
      <c r="K3" s="34" t="s">
        <v>10</v>
      </c>
    </row>
    <row r="4" spans="1:11">
      <c r="A4" t="s">
        <v>43</v>
      </c>
      <c r="B4" s="33">
        <v>0.96199999999999997</v>
      </c>
      <c r="J4" t="s">
        <v>43</v>
      </c>
      <c r="K4" s="33">
        <v>0.82499999999999996</v>
      </c>
    </row>
    <row r="5" spans="1:11">
      <c r="A5" t="s">
        <v>41</v>
      </c>
      <c r="B5" s="33">
        <v>0.96299999999999997</v>
      </c>
      <c r="J5" t="s">
        <v>41</v>
      </c>
      <c r="K5" s="33">
        <v>0.84</v>
      </c>
    </row>
    <row r="6" spans="1:11">
      <c r="A6" t="s">
        <v>42</v>
      </c>
      <c r="B6" s="33">
        <v>0.96199999999999997</v>
      </c>
      <c r="J6" t="s">
        <v>42</v>
      </c>
      <c r="K6" s="33">
        <v>0.84299999999999997</v>
      </c>
    </row>
    <row r="7" spans="1:11">
      <c r="A7" t="s">
        <v>44</v>
      </c>
      <c r="B7" s="33">
        <v>0.96699999999999997</v>
      </c>
      <c r="J7" t="s">
        <v>44</v>
      </c>
      <c r="K7" s="33">
        <v>0.85499999999999998</v>
      </c>
    </row>
    <row r="8" spans="1:11">
      <c r="A8" t="s">
        <v>45</v>
      </c>
      <c r="B8" s="33">
        <v>0.95299999999999996</v>
      </c>
      <c r="J8" t="s">
        <v>45</v>
      </c>
      <c r="K8" s="33">
        <v>0.86199999999999999</v>
      </c>
    </row>
  </sheetData>
  <mergeCells count="2">
    <mergeCell ref="A1:B1"/>
    <mergeCell ref="J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Naive</vt:lpstr>
      <vt:lpstr>Moving Average</vt:lpstr>
      <vt:lpstr>Exponential smoothing </vt:lpstr>
      <vt:lpstr>Linear Forecast</vt:lpstr>
      <vt:lpstr>SLR</vt:lpstr>
      <vt:lpstr>Agg Naive</vt:lpstr>
      <vt:lpstr>Agg MA</vt:lpstr>
      <vt:lpstr>Agg Exponential S</vt:lpstr>
      <vt:lpstr>Agg Linear</vt:lpstr>
      <vt:lpstr>Agg SLR</vt:lpstr>
      <vt:lpstr>Accuracy Charts</vt:lpstr>
      <vt:lpstr>'Linear Forecast'!solver_opt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</dc:creator>
  <cp:lastModifiedBy>s</cp:lastModifiedBy>
  <dcterms:created xsi:type="dcterms:W3CDTF">2026-03-06T00:01:09Z</dcterms:created>
  <dcterms:modified xsi:type="dcterms:W3CDTF">2026-03-06T00:16:17Z</dcterms:modified>
</cp:coreProperties>
</file>